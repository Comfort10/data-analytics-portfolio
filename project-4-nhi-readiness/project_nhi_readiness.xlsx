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mfo\OneDrive - University of Pretoria\Documents\Projects\Project Series\Project 4\"/>
    </mc:Choice>
  </mc:AlternateContent>
  <xr:revisionPtr revIDLastSave="0" documentId="13_ncr:1_{479E654C-A1C5-4201-BDDD-288713179043}" xr6:coauthVersionLast="47" xr6:coauthVersionMax="47" xr10:uidLastSave="{00000000-0000-0000-0000-000000000000}"/>
  <bookViews>
    <workbookView xWindow="-120" yWindow="-120" windowWidth="20730" windowHeight="11040" activeTab="4" xr2:uid="{5C2CDEA0-0006-4D45-9FE6-2ABA69A4A203}"/>
  </bookViews>
  <sheets>
    <sheet name="Data" sheetId="1" r:id="rId1"/>
    <sheet name="Pivot Analysis" sheetId="2" r:id="rId2"/>
    <sheet name="Normalisation" sheetId="7" r:id="rId3"/>
    <sheet name="Scorecard" sheetId="3" r:id="rId4"/>
    <sheet name="Dashboard" sheetId="4" r:id="rId5"/>
  </sheets>
  <definedNames>
    <definedName name="_xlnm._FilterDatabase" localSheetId="3" hidden="1">Scorecard!$C$2:$H$11</definedName>
  </definedNames>
  <calcPr calcId="191029"/>
  <pivotCaches>
    <pivotCache cacheId="0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3" l="1"/>
  <c r="A2" i="4"/>
  <c r="B2" i="4"/>
  <c r="A3" i="4"/>
  <c r="A4" i="4"/>
  <c r="B4" i="4"/>
  <c r="A5" i="4"/>
  <c r="B5" i="4"/>
  <c r="A6" i="4"/>
  <c r="B6" i="4"/>
  <c r="A7" i="4"/>
  <c r="B7" i="4"/>
  <c r="A8" i="4"/>
  <c r="B8" i="4"/>
  <c r="A9" i="4"/>
  <c r="B9" i="4"/>
  <c r="A10" i="4"/>
  <c r="B10" i="4"/>
  <c r="G3" i="3"/>
  <c r="G4" i="3"/>
  <c r="B3" i="4" s="1"/>
  <c r="G5" i="3"/>
  <c r="G6" i="3"/>
  <c r="G7" i="3"/>
  <c r="G8" i="3"/>
  <c r="G9" i="3"/>
  <c r="G10" i="3"/>
  <c r="G11" i="3"/>
  <c r="F4" i="3"/>
  <c r="F5" i="3"/>
  <c r="F6" i="3"/>
  <c r="F7" i="3"/>
  <c r="F8" i="3"/>
  <c r="F9" i="3"/>
  <c r="F10" i="3"/>
  <c r="F11" i="3"/>
  <c r="F3" i="3"/>
  <c r="E4" i="3"/>
  <c r="E5" i="3"/>
  <c r="E6" i="3"/>
  <c r="E7" i="3"/>
  <c r="E8" i="3"/>
  <c r="E9" i="3"/>
  <c r="E10" i="3"/>
  <c r="E11" i="3"/>
  <c r="E3" i="3"/>
  <c r="D5" i="3"/>
  <c r="D6" i="3"/>
  <c r="D7" i="3"/>
  <c r="D8" i="3"/>
  <c r="D9" i="3"/>
  <c r="D10" i="3"/>
  <c r="D11" i="3"/>
  <c r="D3" i="3"/>
  <c r="J4" i="7"/>
  <c r="J5" i="7"/>
  <c r="J6" i="7"/>
  <c r="J7" i="7"/>
  <c r="J8" i="7"/>
  <c r="J9" i="7"/>
  <c r="J10" i="7"/>
  <c r="J11" i="7"/>
  <c r="J3" i="7"/>
  <c r="I4" i="7"/>
  <c r="I5" i="7"/>
  <c r="I6" i="7"/>
  <c r="I7" i="7"/>
  <c r="I8" i="7"/>
  <c r="I9" i="7"/>
  <c r="I10" i="7"/>
  <c r="I11" i="7"/>
  <c r="I3" i="7"/>
  <c r="H4" i="7"/>
  <c r="H5" i="7"/>
  <c r="H6" i="7"/>
  <c r="H7" i="7"/>
  <c r="H8" i="7"/>
  <c r="H9" i="7"/>
  <c r="H10" i="7"/>
  <c r="H11" i="7"/>
  <c r="H3" i="7"/>
  <c r="G4" i="7"/>
  <c r="G5" i="7"/>
  <c r="G6" i="7"/>
  <c r="G7" i="7"/>
  <c r="G8" i="7"/>
  <c r="G9" i="7"/>
  <c r="G10" i="7"/>
  <c r="G11" i="7"/>
  <c r="G3" i="7"/>
  <c r="F4" i="7"/>
  <c r="F5" i="7"/>
  <c r="F6" i="7"/>
  <c r="F7" i="7"/>
  <c r="F8" i="7"/>
  <c r="F9" i="7"/>
  <c r="F10" i="7"/>
  <c r="F11" i="7"/>
  <c r="F3" i="7"/>
  <c r="E4" i="7"/>
  <c r="E5" i="7"/>
  <c r="E6" i="7"/>
  <c r="E7" i="7"/>
  <c r="E8" i="7"/>
  <c r="E9" i="7"/>
  <c r="E10" i="7"/>
  <c r="E11" i="7"/>
  <c r="E3" i="7"/>
  <c r="D4" i="7"/>
  <c r="D5" i="7"/>
  <c r="D6" i="7"/>
  <c r="D7" i="7"/>
  <c r="D8" i="7"/>
  <c r="D9" i="7"/>
  <c r="D10" i="7"/>
  <c r="D11" i="7"/>
  <c r="D3" i="7"/>
  <c r="C4" i="7"/>
  <c r="C5" i="7"/>
  <c r="C6" i="7"/>
  <c r="C7" i="7"/>
  <c r="C8" i="7"/>
  <c r="C9" i="7"/>
  <c r="C10" i="7"/>
  <c r="C11" i="7"/>
  <c r="C3" i="7"/>
  <c r="H3" i="3" l="1" a="1"/>
  <c r="H3" i="3" l="1"/>
  <c r="C2" i="4" s="1"/>
  <c r="C3" i="4"/>
  <c r="C4" i="4"/>
  <c r="C5" i="4"/>
  <c r="C6" i="4"/>
  <c r="C7" i="4"/>
  <c r="C8" i="4"/>
  <c r="C9" i="4"/>
  <c r="C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<sst xmlns="http://schemas.openxmlformats.org/spreadsheetml/2006/main" count="104" uniqueCount="41">
  <si>
    <t>Province</t>
  </si>
  <si>
    <t>Gauteng</t>
  </si>
  <si>
    <t>KwaZulu-Natal</t>
  </si>
  <si>
    <t>Western Cape</t>
  </si>
  <si>
    <t>Eastern Cape</t>
  </si>
  <si>
    <t>Limpopo</t>
  </si>
  <si>
    <t>Mpumalanga</t>
  </si>
  <si>
    <t>North West</t>
  </si>
  <si>
    <t>Free State</t>
  </si>
  <si>
    <t>Northern Cape</t>
  </si>
  <si>
    <t>Health Facilities per 100 000</t>
  </si>
  <si>
    <t>Doctors per 100 000</t>
  </si>
  <si>
    <t>Nurses per 100 000</t>
  </si>
  <si>
    <t>Maternal Mortality per 100 000</t>
  </si>
  <si>
    <t>Medical Aid Coverage</t>
  </si>
  <si>
    <t>HIV Prevalence</t>
  </si>
  <si>
    <t>TB Treatment Success</t>
  </si>
  <si>
    <t>Immunisation Rate</t>
  </si>
  <si>
    <t>Antenatal Care Coverage</t>
  </si>
  <si>
    <t>Health Expenditure per Capita</t>
  </si>
  <si>
    <t>Avg Health Expenditure per Capita</t>
  </si>
  <si>
    <t>Avg of TB Treatment Success</t>
  </si>
  <si>
    <t>Avg of Immunisation Rate</t>
  </si>
  <si>
    <t>Avg of Medical Aid Coverage</t>
  </si>
  <si>
    <t>Infrastructure Score</t>
  </si>
  <si>
    <t>Disease Burden Score</t>
  </si>
  <si>
    <t>Service Delivery Score</t>
  </si>
  <si>
    <t>Overall Readiness</t>
  </si>
  <si>
    <t>RAG Status</t>
  </si>
  <si>
    <t>Facilities Score</t>
  </si>
  <si>
    <t>Doctors Score</t>
  </si>
  <si>
    <t>Nurses Score</t>
  </si>
  <si>
    <t>HIV Score</t>
  </si>
  <si>
    <t>TB Score</t>
  </si>
  <si>
    <t>Immunisation Score</t>
  </si>
  <si>
    <t>ANC Score</t>
  </si>
  <si>
    <t>Maternal Mortality Score</t>
  </si>
  <si>
    <t>Overall</t>
  </si>
  <si>
    <t>Sum of Overall Readiness</t>
  </si>
  <si>
    <t>Not Ready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</si>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</sst>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%"/>
    <numFmt numFmtId="167" formatCode="[$R-1C09]#\ ##0.00"/>
  </numFmts>
  <fonts count="5" x14ac:knownFonts="1"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sz val="8"/>
      <name val="Gill Sans MT"/>
      <family val="2"/>
      <scheme val="minor"/>
    </font>
    <font>
      <b/>
      <sz val="11"/>
      <color theme="0"/>
      <name val="Gill Sans M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2" applyNumberFormat="1" applyFont="1"/>
    <xf numFmtId="166" fontId="1" fillId="0" borderId="0" xfId="2" applyNumberFormat="1" applyFont="1"/>
    <xf numFmtId="167" fontId="0" fillId="0" borderId="0" xfId="1" applyNumberFormat="1" applyFont="1"/>
    <xf numFmtId="0" fontId="0" fillId="0" borderId="0" xfId="0" pivotButton="1"/>
    <xf numFmtId="167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2" xfId="0" applyFill="1" applyBorder="1"/>
    <xf numFmtId="1" fontId="0" fillId="4" borderId="2" xfId="0" applyNumberFormat="1" applyFill="1" applyBorder="1"/>
    <xf numFmtId="0" fontId="0" fillId="0" borderId="2" xfId="0" applyBorder="1"/>
    <xf numFmtId="1" fontId="0" fillId="0" borderId="2" xfId="0" applyNumberFormat="1" applyBorder="1"/>
    <xf numFmtId="0" fontId="0" fillId="4" borderId="3" xfId="0" applyFill="1" applyBorder="1"/>
    <xf numFmtId="0" fontId="0" fillId="0" borderId="3" xfId="0" applyBorder="1"/>
    <xf numFmtId="0" fontId="4" fillId="2" borderId="0" xfId="0" applyFont="1" applyFill="1" applyBorder="1"/>
    <xf numFmtId="0" fontId="4" fillId="2" borderId="4" xfId="0" applyFont="1" applyFill="1" applyBorder="1" applyAlignment="1">
      <alignment wrapText="1"/>
    </xf>
    <xf numFmtId="1" fontId="0" fillId="0" borderId="0" xfId="0" applyNumberFormat="1" applyFont="1"/>
  </cellXfs>
  <cellStyles count="3">
    <cellStyle name="Comma" xfId="1" builtinId="3"/>
    <cellStyle name="Normal" xfId="0" builtinId="0"/>
    <cellStyle name="Per cent" xfId="2" builtinId="5"/>
  </cellStyles>
  <dxfs count="4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/>
        </patternFill>
      </fill>
    </dxf>
    <dxf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</font>
    </dxf>
    <dxf>
      <alignment vertical="top"/>
    </dxf>
    <dxf>
      <alignment wrapText="1"/>
    </dxf>
    <dxf>
      <alignment wrapText="1"/>
    </dxf>
    <dxf>
      <alignment wrapText="1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7" formatCode="[$R-1C09]#\ 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AFAF"/>
      <color rgb="FFFF7979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[project_nhi_readiness.xlsx]Dashboard!PivotTable8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Overall</a:t>
            </a:r>
            <a:r>
              <a:rPr lang="en-ZA" baseline="0"/>
              <a:t> NHI Readiness by Province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AFA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AFA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Dashboard!$B$12:$B$13</c:f>
              <c:strCache>
                <c:ptCount val="1"/>
                <c:pt idx="0">
                  <c:v>Not Ready</c:v>
                </c:pt>
              </c:strCache>
            </c:strRef>
          </c:tx>
          <c:spPr>
            <a:solidFill>
              <a:srgbClr val="FFAFA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Dashboard!$A$14:$A$22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Dashboard!$B$14:$B$22</c:f>
              <c:numCache>
                <c:formatCode>0</c:formatCode>
                <c:ptCount val="9"/>
                <c:pt idx="0">
                  <c:v>1.748385773206359</c:v>
                </c:pt>
                <c:pt idx="1">
                  <c:v>3.9664638800154512</c:v>
                </c:pt>
                <c:pt idx="3">
                  <c:v>3.5459818307694491</c:v>
                </c:pt>
                <c:pt idx="4">
                  <c:v>1.2309522901377081</c:v>
                </c:pt>
                <c:pt idx="5">
                  <c:v>1.3105600830194239</c:v>
                </c:pt>
                <c:pt idx="6">
                  <c:v>2.8914761799298994</c:v>
                </c:pt>
                <c:pt idx="7">
                  <c:v>4.0031219873953452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3-4255-B1FA-9599DD09CD9C}"/>
            </c:ext>
          </c:extLst>
        </c:ser>
        <c:ser>
          <c:idx val="1"/>
          <c:order val="1"/>
          <c:tx>
            <c:strRef>
              <c:f>Dashboard!$C$12:$C$13</c:f>
              <c:strCache>
                <c:ptCount val="1"/>
                <c:pt idx="0">
                  <c:v>Ready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Dashboard!$A$14:$A$22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Dashboard!$C$14:$C$22</c:f>
              <c:numCache>
                <c:formatCode>0</c:formatCode>
                <c:ptCount val="9"/>
                <c:pt idx="2">
                  <c:v>7.6015145123818995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88-48D9-97F5-3F9EC25AF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364735"/>
        <c:axId val="744349855"/>
      </c:barChart>
      <c:catAx>
        <c:axId val="74436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Provinces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349855"/>
        <c:crosses val="autoZero"/>
        <c:auto val="1"/>
        <c:lblAlgn val="ctr"/>
        <c:lblOffset val="100"/>
        <c:noMultiLvlLbl val="0"/>
      </c:catAx>
      <c:valAx>
        <c:axId val="744349855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Readiness</a:t>
                </a:r>
                <a:r>
                  <a:rPr lang="en-ZA" baseline="0"/>
                  <a:t>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36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76199</xdr:colOff>
      <xdr:row>2</xdr:row>
      <xdr:rowOff>76201</xdr:rowOff>
    </xdr:from>
    <xdr:to>
      <xdr:col>10</xdr:col>
      <xdr:colOff>428625</xdr:colOff>
      <xdr:row>18</xdr:row>
      <xdr:rowOff>119063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1CD1DD-9DDB-F32A-0206-3A5639EDE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fort Nkosi" refreshedDate="46141.451054745368" createdVersion="8" refreshedVersion="8" minRefreshableVersion="3" recordCount="9" xr:uid="{7BF4EBEF-6E3C-40BA-B3B3-13BF8682840A}">
  <cacheSource type="worksheet">
    <worksheetSource name="NHI_Readiness"/>
  </cacheSource>
  <cacheFields count="12">
    <cacheField name="Province" numFmtId="0">
      <sharedItems count="9">
        <s v="Gauteng"/>
        <s v="KwaZulu-Natal"/>
        <s v="Western Cape"/>
        <s v="Eastern Cape"/>
        <s v="Limpopo"/>
        <s v="Mpumalanga"/>
        <s v="North West"/>
        <s v="Free State"/>
        <s v="Northern Cape"/>
      </sharedItems>
    </cacheField>
    <cacheField name="Health Facilities per 100 000" numFmtId="0">
      <sharedItems containsSemiMixedTypes="0" containsString="0" containsNumber="1" minValue="16.2" maxValue="31.2"/>
    </cacheField>
    <cacheField name="Doctors per 100 000" numFmtId="0">
      <sharedItems containsSemiMixedTypes="0" containsString="0" containsNumber="1" minValue="9.8000000000000007" maxValue="42.8"/>
    </cacheField>
    <cacheField name="Nurses per 100 000" numFmtId="0">
      <sharedItems containsSemiMixedTypes="0" containsString="0" containsNumber="1" minValue="148.6" maxValue="268.39999999999998"/>
    </cacheField>
    <cacheField name="Health Expenditure per Capita" numFmtId="167">
      <sharedItems containsSemiMixedTypes="0" containsString="0" containsNumber="1" containsInteger="1" minValue="2980" maxValue="5240"/>
    </cacheField>
    <cacheField name="Medical Aid Coverage" numFmtId="166">
      <sharedItems containsSemiMixedTypes="0" containsString="0" containsNumber="1" minValue="5.2000000000000005E-2" maxValue="0.312"/>
    </cacheField>
    <cacheField name="HIV Prevalence" numFmtId="166">
      <sharedItems containsSemiMixedTypes="0" containsString="0" containsNumber="1" minValue="0.124" maxValue="0.34200000000000003"/>
    </cacheField>
    <cacheField name="TB Treatment Success" numFmtId="166">
      <sharedItems containsSemiMixedTypes="0" containsString="0" containsNumber="1" minValue="0.65799999999999992" maxValue="0.78599999999999992" count="9">
        <n v="0.74199999999999999"/>
        <n v="0.71799999999999997"/>
        <n v="0.78599999999999992"/>
        <n v="0.68400000000000005"/>
        <n v="0.65799999999999992"/>
        <n v="0.67200000000000004"/>
        <n v="0.69599999999999995"/>
        <n v="0.72400000000000009"/>
        <n v="0.70799999999999996"/>
      </sharedItems>
    </cacheField>
    <cacheField name="Immunisation Rate" numFmtId="166">
      <sharedItems containsSemiMixedTypes="0" containsString="0" containsNumber="1" minValue="0.71799999999999997" maxValue="0.873" count="9">
        <n v="0.82099999999999995"/>
        <n v="0.79400000000000004"/>
        <n v="0.873"/>
        <n v="0.74199999999999999"/>
        <n v="0.71799999999999997"/>
        <n v="0.73599999999999999"/>
        <n v="0.76800000000000002"/>
        <n v="0.78200000000000003"/>
        <n v="0.77400000000000002"/>
      </sharedItems>
    </cacheField>
    <cacheField name="Antenatal Care Coverage" numFmtId="166">
      <sharedItems containsSemiMixedTypes="0" containsString="0" containsNumber="1" minValue="0.8640000000000001" maxValue="0.97799999999999998"/>
    </cacheField>
    <cacheField name="Maternal Mortality per 100 000" numFmtId="0">
      <sharedItems containsSemiMixedTypes="0" containsString="0" containsNumber="1" minValue="62.3" maxValue="198.6"/>
    </cacheField>
    <cacheField name="Below 15% Medical Aid Coverage" numFmtId="0" formula=" IF('Medical Aid Coverage'&lt; 15, &quot;Highest NHI Dependency&quot;, &quot;&quot;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fort Nkosi" refreshedDate="46146.595628935182" createdVersion="8" refreshedVersion="8" minRefreshableVersion="3" recordCount="9" xr:uid="{8343FB16-1994-4C75-BDE5-5DAE22370815}">
  <cacheSource type="worksheet">
    <worksheetSource ref="A1:C10" sheet="Dashboard"/>
  </cacheSource>
  <cacheFields count="3">
    <cacheField name="Province" numFmtId="0">
      <sharedItems count="9">
        <s v="Gauteng"/>
        <s v="KwaZulu-Natal"/>
        <s v="Western Cape"/>
        <s v="Eastern Cape"/>
        <s v="Limpopo"/>
        <s v="Mpumalanga"/>
        <s v="North West"/>
        <s v="Free State"/>
        <s v="Northern Cape"/>
      </sharedItems>
    </cacheField>
    <cacheField name="Overall Readiness" numFmtId="1">
      <sharedItems containsSemiMixedTypes="0" containsString="0" containsNumber="1" minValue="1.2309522901377081" maxValue="10" count="9">
        <n v="7.6015145123818995"/>
        <n v="3.5459818307694491"/>
        <n v="10"/>
        <n v="1.748385773206359"/>
        <n v="1.2309522901377081"/>
        <n v="1.3105600830194239"/>
        <n v="2.8914761799298994"/>
        <n v="3.9664638800154512"/>
        <n v="4.0031219873953452"/>
      </sharedItems>
    </cacheField>
    <cacheField name="RAG Status" numFmtId="0">
      <sharedItems count="2">
        <s v="Ready"/>
        <s v="Not Read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28.4"/>
    <n v="38.4"/>
    <n v="242.1"/>
    <n v="4850"/>
    <n v="0.24299999999999999"/>
    <n v="0.17800000000000002"/>
    <x v="0"/>
    <x v="0"/>
    <n v="0.96299999999999997"/>
    <n v="98.4"/>
  </r>
  <r>
    <x v="1"/>
    <n v="22.1"/>
    <n v="18.600000000000001"/>
    <n v="198.4"/>
    <n v="3920"/>
    <n v="0.121"/>
    <n v="0.34200000000000003"/>
    <x v="1"/>
    <x v="1"/>
    <n v="0.93200000000000005"/>
    <n v="154.19999999999999"/>
  </r>
  <r>
    <x v="2"/>
    <n v="31.2"/>
    <n v="42.8"/>
    <n v="268.39999999999998"/>
    <n v="5240"/>
    <n v="0.312"/>
    <n v="0.124"/>
    <x v="2"/>
    <x v="2"/>
    <n v="0.97799999999999998"/>
    <n v="62.3"/>
  </r>
  <r>
    <x v="3"/>
    <n v="18.600000000000001"/>
    <n v="14.2"/>
    <n v="162.80000000000001"/>
    <n v="3240"/>
    <n v="8.4000000000000005E-2"/>
    <n v="0.26800000000000002"/>
    <x v="3"/>
    <x v="3"/>
    <n v="0.8859999999999999"/>
    <n v="198.6"/>
  </r>
  <r>
    <x v="4"/>
    <n v="16.2"/>
    <n v="9.8000000000000007"/>
    <n v="148.6"/>
    <n v="2980"/>
    <n v="5.2000000000000005E-2"/>
    <n v="0.19399999999999998"/>
    <x v="4"/>
    <x v="4"/>
    <n v="0.8640000000000001"/>
    <n v="186.4"/>
  </r>
  <r>
    <x v="5"/>
    <n v="17.8"/>
    <n v="11.4"/>
    <n v="154.19999999999999"/>
    <n v="3140"/>
    <n v="7.8E-2"/>
    <n v="0.28600000000000003"/>
    <x v="5"/>
    <x v="5"/>
    <n v="0.878"/>
    <n v="172.8"/>
  </r>
  <r>
    <x v="6"/>
    <n v="19.399999999999999"/>
    <n v="13.6"/>
    <n v="168.4"/>
    <n v="3380"/>
    <n v="9.1999999999999998E-2"/>
    <n v="0.22399999999999998"/>
    <x v="6"/>
    <x v="6"/>
    <n v="0.89400000000000002"/>
    <n v="162.4"/>
  </r>
  <r>
    <x v="7"/>
    <n v="21.6"/>
    <n v="16.8"/>
    <n v="182.6"/>
    <n v="3680"/>
    <n v="0.114"/>
    <n v="0.24600000000000002"/>
    <x v="7"/>
    <x v="7"/>
    <n v="0.91599999999999993"/>
    <n v="142.6"/>
  </r>
  <r>
    <x v="8"/>
    <n v="20.8"/>
    <n v="15.4"/>
    <n v="174.8"/>
    <n v="3520"/>
    <n v="0.106"/>
    <n v="0.16200000000000001"/>
    <x v="8"/>
    <x v="8"/>
    <n v="0.90799999999999992"/>
    <n v="152.800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</r>
  <r>
    <x v="1"/>
    <x v="1"/>
    <x v="1"/>
  </r>
  <r>
    <x v="2"/>
    <x v="2"/>
    <x v="0"/>
  </r>
  <r>
    <x v="3"/>
    <x v="3"/>
    <x v="1"/>
  </r>
  <r>
    <x v="4"/>
    <x v="4"/>
    <x v="1"/>
  </r>
  <r>
    <x v="5"/>
    <x v="5"/>
    <x v="1"/>
  </r>
  <r>
    <x v="6"/>
    <x v="6"/>
    <x v="1"/>
  </r>
  <r>
    <x v="7"/>
    <x v="7"/>
    <x v="1"/>
  </r>
  <r>
    <x v="8"/>
    <x v="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0E82A-4180-4A62-8164-C6AA6ADC5205}" name="PivotTable1" cacheId="0" applyNumberFormats="0" applyBorderFormats="0" applyFontFormats="0" applyPatternFormats="0" applyAlignmentFormats="0" applyWidthHeightFormats="1" dataCaption="Values" grandTotalCaption="Overall" updatedVersion="8" minRefreshableVersion="3" useAutoFormatting="1" itemPrintTitles="1" createdVersion="8" indent="0" compact="0" compactData="0" multipleFieldFilters="0">
  <location ref="B2:C12" firstHeaderRow="1" firstDataRow="1" firstDataCol="1"/>
  <pivotFields count="12">
    <pivotField axis="axisRow" compact="0" outline="0" showAll="0" sortType="descending">
      <items count="10">
        <item x="3"/>
        <item x="7"/>
        <item x="0"/>
        <item x="1"/>
        <item x="4"/>
        <item x="5"/>
        <item x="6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167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  <pivotField compact="0" outline="0" subtotalTop="0" dragToRow="0" dragToCol="0" dragToPage="0" showAll="0" defaultSubtotal="0"/>
  </pivotFields>
  <rowFields count="1">
    <field x="0"/>
  </rowFields>
  <rowItems count="10">
    <i>
      <x v="8"/>
    </i>
    <i>
      <x v="2"/>
    </i>
    <i>
      <x v="3"/>
    </i>
    <i>
      <x v="1"/>
    </i>
    <i>
      <x v="7"/>
    </i>
    <i>
      <x v="6"/>
    </i>
    <i>
      <x/>
    </i>
    <i>
      <x v="5"/>
    </i>
    <i>
      <x v="4"/>
    </i>
    <i t="grand">
      <x/>
    </i>
  </rowItems>
  <colItems count="1">
    <i/>
  </colItems>
  <dataFields count="1">
    <dataField name="Avg Health Expenditure per Capita" fld="4" subtotal="average" baseField="0" baseItem="0" numFmtId="167"/>
  </dataFields>
  <formats count="2">
    <format dxfId="30">
      <pivotArea dataOnly="0" outline="0" axis="axisValues" fieldPosition="0"/>
    </format>
    <format dxfId="29">
      <pivotArea dataOnly="0" labelOnly="1" outline="0" axis="axisValues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BF012-CAF7-402D-B72B-439DF61CB22D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14:C21" firstHeaderRow="1" firstDataRow="1" firstDataCol="1"/>
  <pivotFields count="12">
    <pivotField axis="axisRow" compact="0" outline="0" showAll="0" measureFilter="1">
      <items count="10">
        <item x="3"/>
        <item x="7"/>
        <item x="0"/>
        <item x="1"/>
        <item x="4"/>
        <item x="5"/>
        <item x="6"/>
        <item x="8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7" outline="0" showAll="0"/>
    <pivotField dataField="1"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  <pivotField compact="0" outline="0" subtotalTop="0" dragToRow="0" dragToCol="0" dragToPage="0" showAll="0" defaultSubtotal="0"/>
  </pivotFields>
  <rowFields count="1">
    <field x="0"/>
  </rowFields>
  <rowItems count="7">
    <i>
      <x/>
    </i>
    <i>
      <x v="1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Avg of Medical Aid Coverage" fld="5" subtotal="average" baseField="0" baseItem="0" numFmtId="166"/>
  </dataFields>
  <formats count="1">
    <format dxfId="31">
      <pivotArea dataOnly="0" outline="0" axis="axisValues" fieldPosition="0"/>
    </format>
  </formats>
  <pivotTableStyleInfo name="PivotStyleLight16" showRowHeaders="1" showColHeaders="1" showRowStripes="0" showColStripes="0" showLastColumn="1"/>
  <filters count="1">
    <filter fld="0" type="valueLessThan" evalOrder="-1" id="4" iMeasureFld="0">
      <autoFilter ref="A1">
        <filterColumn colId="0">
          <customFilters>
            <customFilter operator="lessThan" val="0.1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12370-7306-4E69-A633-C457F3B36368}" name="PivotTable2" cacheId="0" applyNumberFormats="0" applyBorderFormats="0" applyFontFormats="0" applyPatternFormats="0" applyAlignmentFormats="0" applyWidthHeightFormats="1" dataCaption="Values" grandTotalCaption="Overall" updatedVersion="8" minRefreshableVersion="3" useAutoFormatting="1" itemPrintTitles="1" createdVersion="8" indent="0" compact="0" compactData="0" multipleFieldFilters="0">
  <location ref="E3:G13" firstHeaderRow="0" firstDataRow="1" firstDataCol="1"/>
  <pivotFields count="12">
    <pivotField axis="axisRow" compact="0" outline="0" showAll="0" sortType="descending">
      <items count="10">
        <item x="3"/>
        <item x="7"/>
        <item x="0"/>
        <item x="1"/>
        <item x="4"/>
        <item x="5"/>
        <item x="6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67" outline="0" showAll="0"/>
    <pivotField compact="0" numFmtId="166" outline="0" showAll="0"/>
    <pivotField compact="0" numFmtId="166" outline="0" showAll="0"/>
    <pivotField dataField="1" compact="0" numFmtId="166" outline="0" showAll="0">
      <items count="10">
        <item x="4"/>
        <item x="5"/>
        <item x="3"/>
        <item x="6"/>
        <item x="8"/>
        <item x="1"/>
        <item x="7"/>
        <item x="0"/>
        <item x="2"/>
        <item t="default"/>
      </items>
    </pivotField>
    <pivotField dataField="1" compact="0" numFmtId="166" outline="0" showAll="0">
      <items count="10">
        <item x="4"/>
        <item x="5"/>
        <item x="3"/>
        <item x="6"/>
        <item x="8"/>
        <item x="7"/>
        <item x="1"/>
        <item x="0"/>
        <item x="2"/>
        <item t="default"/>
      </items>
    </pivotField>
    <pivotField compact="0" numFmtId="166" outline="0" showAll="0"/>
    <pivotField compact="0" outline="0" showAll="0"/>
    <pivotField compact="0" outline="0" subtotalTop="0" dragToRow="0" dragToCol="0" dragToPage="0" showAll="0" defaultSubtotal="0"/>
  </pivotFields>
  <rowFields count="1">
    <field x="0"/>
  </rowFields>
  <rowItems count="10">
    <i>
      <x v="8"/>
    </i>
    <i>
      <x v="2"/>
    </i>
    <i>
      <x v="1"/>
    </i>
    <i>
      <x v="3"/>
    </i>
    <i>
      <x v="7"/>
    </i>
    <i>
      <x v="6"/>
    </i>
    <i>
      <x/>
    </i>
    <i>
      <x v="5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g of TB Treatment Success" fld="7" subtotal="average" baseField="0" baseItem="0" numFmtId="166"/>
    <dataField name="Avg of Immunisation Rate" fld="8" subtotal="average" baseField="0" baseItem="0" numFmtId="166"/>
  </dataFields>
  <formats count="1"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EE931-2198-4C74-8098-EB3A855A0F0A}" name="PivotTable8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5">
  <location ref="A12:C22" firstHeaderRow="1" firstDataRow="2" firstDataCol="1"/>
  <pivotFields count="3">
    <pivotField axis="axisRow" compact="0" outline="0" showAll="0">
      <items count="10">
        <item x="3"/>
        <item x="7"/>
        <item x="0"/>
        <item x="1"/>
        <item x="4"/>
        <item x="5"/>
        <item x="6"/>
        <item x="8"/>
        <item x="2"/>
        <item t="default"/>
      </items>
    </pivotField>
    <pivotField dataField="1" compact="0" numFmtId="1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2"/>
  </colFields>
  <colItems count="2">
    <i>
      <x/>
    </i>
    <i>
      <x v="1"/>
    </i>
  </colItems>
  <dataFields count="1">
    <dataField name="Sum of Overall Readiness" fld="1" baseField="0" baseItem="0" numFmtId="1"/>
  </dataFields>
  <formats count="1">
    <format dxfId="28">
      <pivotArea outline="0" collapsedLevelsAreSubtotals="1" fieldPosition="0"/>
    </format>
  </format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C051B1-053A-4822-AB50-6DBF55EA309E}" name="NHI_Readiness" displayName="NHI_Readiness" ref="A1:K10" totalsRowShown="0" headerRowDxfId="39">
  <autoFilter ref="A1:K10" xr:uid="{38C051B1-053A-4822-AB50-6DBF55EA309E}"/>
  <tableColumns count="11">
    <tableColumn id="1" xr3:uid="{2E17A7D0-9B66-4A06-AD67-A9D1904C5905}" name="Province"/>
    <tableColumn id="2" xr3:uid="{5951ED7B-D455-4F94-B85E-922BD415286A}" name="Health Facilities per 100 000"/>
    <tableColumn id="3" xr3:uid="{2AF0EC90-B9A9-4E21-A89F-A25B4E4495C3}" name="Doctors per 100 000"/>
    <tableColumn id="4" xr3:uid="{16228A74-108F-4AF8-893A-FF51A38619E8}" name="Nurses per 100 000"/>
    <tableColumn id="5" xr3:uid="{2FD9BC37-A6DA-47DB-A0F4-04CEDA113806}" name="Health Expenditure per Capita" dataDxfId="38" dataCellStyle="Comma"/>
    <tableColumn id="6" xr3:uid="{7356EDFB-7199-475D-983E-D1630FBB5EEB}" name="Medical Aid Coverage" dataDxfId="37" dataCellStyle="Per cent"/>
    <tableColumn id="7" xr3:uid="{F90EE3C0-F865-4592-B474-B0DD72D91229}" name="HIV Prevalence" dataDxfId="36" dataCellStyle="Per cent"/>
    <tableColumn id="8" xr3:uid="{3C2A37BC-39AB-4236-8C30-442AF8E1A07D}" name="TB Treatment Success" dataDxfId="35" dataCellStyle="Per cent"/>
    <tableColumn id="9" xr3:uid="{F0CC9665-4E37-4519-BC8A-43FA13A37766}" name="Immunisation Rate" dataDxfId="34" dataCellStyle="Per cent"/>
    <tableColumn id="10" xr3:uid="{0F530526-B9EE-4548-BC26-DCA02216EB22}" name="Antenatal Care Coverage" dataDxfId="33" dataCellStyle="Per cent"/>
    <tableColumn id="11" xr3:uid="{231EF536-AFC7-4327-8CFF-9A6B7D8F7549}" name="Maternal Mortality per 100 0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75346A-0BE8-4AC3-95B6-1EA7EA33256E}" name="Table2" displayName="Table2" ref="A1:C10" totalsRowShown="0" tableBorderDxfId="27">
  <tableColumns count="3">
    <tableColumn id="1" xr3:uid="{D09D3D67-4A2F-4CF0-BD8C-2AB41C0DB2AA}" name="Province" dataDxfId="26">
      <calculatedColumnFormula>Scorecard!C3</calculatedColumnFormula>
    </tableColumn>
    <tableColumn id="2" xr3:uid="{6B4A50A8-4736-4DDA-86AD-F003DD0868D5}" name="Overall Readiness" dataDxfId="25">
      <calculatedColumnFormula>Scorecard!G3</calculatedColumnFormula>
    </tableColumn>
    <tableColumn id="3" xr3:uid="{2EF04A5F-2EBF-4232-BD2B-ACD217AEEDA5}" name="RAG Status" dataDxfId="24">
      <calculatedColumnFormula>Scorecard!H3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732A-5279-40F6-BCA0-3BB1AB740813}">
  <dimension ref="A1:M12"/>
  <sheetViews>
    <sheetView workbookViewId="0">
      <pane ySplit="1" topLeftCell="A2" activePane="bottomLeft" state="frozen"/>
      <selection pane="bottomLeft" activeCell="K13" sqref="K13"/>
    </sheetView>
  </sheetViews>
  <sheetFormatPr defaultRowHeight="17.25" x14ac:dyDescent="0.35"/>
  <cols>
    <col min="1" max="3" width="14.375" customWidth="1"/>
    <col min="4" max="4" width="11.375" customWidth="1"/>
    <col min="5" max="5" width="16.25" customWidth="1"/>
    <col min="6" max="11" width="14.375" customWidth="1"/>
  </cols>
  <sheetData>
    <row r="1" spans="1:13" ht="51.75" x14ac:dyDescent="0.35">
      <c r="A1" s="1" t="s">
        <v>0</v>
      </c>
      <c r="B1" s="2" t="s">
        <v>10</v>
      </c>
      <c r="C1" s="2" t="s">
        <v>11</v>
      </c>
      <c r="D1" s="2" t="s">
        <v>12</v>
      </c>
      <c r="E1" s="2" t="s">
        <v>19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13</v>
      </c>
    </row>
    <row r="2" spans="1:13" x14ac:dyDescent="0.35">
      <c r="A2" t="s">
        <v>1</v>
      </c>
      <c r="B2">
        <v>28.4</v>
      </c>
      <c r="C2">
        <v>38.4</v>
      </c>
      <c r="D2">
        <v>242.1</v>
      </c>
      <c r="E2" s="7">
        <v>4850</v>
      </c>
      <c r="F2" s="6">
        <v>0.24299999999999999</v>
      </c>
      <c r="G2" s="5">
        <v>0.17800000000000002</v>
      </c>
      <c r="H2" s="5">
        <v>0.74199999999999999</v>
      </c>
      <c r="I2" s="5">
        <v>0.82099999999999995</v>
      </c>
      <c r="J2" s="5">
        <v>0.96299999999999997</v>
      </c>
      <c r="K2">
        <v>98.4</v>
      </c>
      <c r="M2" s="3"/>
    </row>
    <row r="3" spans="1:13" x14ac:dyDescent="0.35">
      <c r="A3" t="s">
        <v>2</v>
      </c>
      <c r="B3">
        <v>22.1</v>
      </c>
      <c r="C3">
        <v>18.600000000000001</v>
      </c>
      <c r="D3">
        <v>198.4</v>
      </c>
      <c r="E3" s="7">
        <v>3920</v>
      </c>
      <c r="F3" s="5">
        <v>0.121</v>
      </c>
      <c r="G3" s="5">
        <v>0.34200000000000003</v>
      </c>
      <c r="H3" s="5">
        <v>0.71799999999999997</v>
      </c>
      <c r="I3" s="5">
        <v>0.79400000000000004</v>
      </c>
      <c r="J3" s="5">
        <v>0.93200000000000005</v>
      </c>
      <c r="K3">
        <v>154.19999999999999</v>
      </c>
    </row>
    <row r="4" spans="1:13" x14ac:dyDescent="0.35">
      <c r="A4" t="s">
        <v>3</v>
      </c>
      <c r="B4">
        <v>31.2</v>
      </c>
      <c r="C4">
        <v>42.8</v>
      </c>
      <c r="D4">
        <v>268.39999999999998</v>
      </c>
      <c r="E4" s="7">
        <v>5240</v>
      </c>
      <c r="F4" s="5">
        <v>0.312</v>
      </c>
      <c r="G4" s="5">
        <v>0.124</v>
      </c>
      <c r="H4" s="5">
        <v>0.78599999999999992</v>
      </c>
      <c r="I4" s="5">
        <v>0.873</v>
      </c>
      <c r="J4" s="5">
        <v>0.97799999999999998</v>
      </c>
      <c r="K4">
        <v>62.3</v>
      </c>
    </row>
    <row r="5" spans="1:13" x14ac:dyDescent="0.35">
      <c r="A5" t="s">
        <v>4</v>
      </c>
      <c r="B5">
        <v>18.600000000000001</v>
      </c>
      <c r="C5">
        <v>14.2</v>
      </c>
      <c r="D5">
        <v>162.80000000000001</v>
      </c>
      <c r="E5" s="7">
        <v>3240</v>
      </c>
      <c r="F5" s="5">
        <v>8.4000000000000005E-2</v>
      </c>
      <c r="G5" s="5">
        <v>0.26800000000000002</v>
      </c>
      <c r="H5" s="5">
        <v>0.68400000000000005</v>
      </c>
      <c r="I5" s="5">
        <v>0.74199999999999999</v>
      </c>
      <c r="J5" s="5">
        <v>0.8859999999999999</v>
      </c>
      <c r="K5">
        <v>198.6</v>
      </c>
    </row>
    <row r="6" spans="1:13" x14ac:dyDescent="0.35">
      <c r="A6" t="s">
        <v>5</v>
      </c>
      <c r="B6">
        <v>16.2</v>
      </c>
      <c r="C6">
        <v>9.8000000000000007</v>
      </c>
      <c r="D6">
        <v>148.6</v>
      </c>
      <c r="E6" s="7">
        <v>2980</v>
      </c>
      <c r="F6" s="5">
        <v>5.2000000000000005E-2</v>
      </c>
      <c r="G6" s="5">
        <v>0.19399999999999998</v>
      </c>
      <c r="H6" s="5">
        <v>0.65799999999999992</v>
      </c>
      <c r="I6" s="5">
        <v>0.71799999999999997</v>
      </c>
      <c r="J6" s="5">
        <v>0.8640000000000001</v>
      </c>
      <c r="K6">
        <v>186.4</v>
      </c>
    </row>
    <row r="7" spans="1:13" x14ac:dyDescent="0.35">
      <c r="A7" t="s">
        <v>6</v>
      </c>
      <c r="B7">
        <v>17.8</v>
      </c>
      <c r="C7">
        <v>11.4</v>
      </c>
      <c r="D7">
        <v>154.19999999999999</v>
      </c>
      <c r="E7" s="7">
        <v>3140</v>
      </c>
      <c r="F7" s="5">
        <v>7.8E-2</v>
      </c>
      <c r="G7" s="5">
        <v>0.28600000000000003</v>
      </c>
      <c r="H7" s="5">
        <v>0.67200000000000004</v>
      </c>
      <c r="I7" s="5">
        <v>0.73599999999999999</v>
      </c>
      <c r="J7" s="5">
        <v>0.878</v>
      </c>
      <c r="K7">
        <v>172.8</v>
      </c>
    </row>
    <row r="8" spans="1:13" x14ac:dyDescent="0.35">
      <c r="A8" t="s">
        <v>7</v>
      </c>
      <c r="B8">
        <v>19.399999999999999</v>
      </c>
      <c r="C8">
        <v>13.6</v>
      </c>
      <c r="D8">
        <v>168.4</v>
      </c>
      <c r="E8" s="7">
        <v>3380</v>
      </c>
      <c r="F8" s="5">
        <v>9.1999999999999998E-2</v>
      </c>
      <c r="G8" s="5">
        <v>0.22399999999999998</v>
      </c>
      <c r="H8" s="5">
        <v>0.69599999999999995</v>
      </c>
      <c r="I8" s="5">
        <v>0.76800000000000002</v>
      </c>
      <c r="J8" s="5">
        <v>0.89400000000000002</v>
      </c>
      <c r="K8">
        <v>162.4</v>
      </c>
    </row>
    <row r="9" spans="1:13" x14ac:dyDescent="0.35">
      <c r="A9" t="s">
        <v>8</v>
      </c>
      <c r="B9">
        <v>21.6</v>
      </c>
      <c r="C9">
        <v>16.8</v>
      </c>
      <c r="D9">
        <v>182.6</v>
      </c>
      <c r="E9" s="7">
        <v>3680</v>
      </c>
      <c r="F9" s="5">
        <v>0.114</v>
      </c>
      <c r="G9" s="5">
        <v>0.24600000000000002</v>
      </c>
      <c r="H9" s="5">
        <v>0.72400000000000009</v>
      </c>
      <c r="I9" s="5">
        <v>0.78200000000000003</v>
      </c>
      <c r="J9" s="5">
        <v>0.91599999999999993</v>
      </c>
      <c r="K9">
        <v>142.6</v>
      </c>
    </row>
    <row r="10" spans="1:13" x14ac:dyDescent="0.35">
      <c r="A10" t="s">
        <v>9</v>
      </c>
      <c r="B10">
        <v>20.8</v>
      </c>
      <c r="C10">
        <v>15.4</v>
      </c>
      <c r="D10">
        <v>174.8</v>
      </c>
      <c r="E10" s="7">
        <v>3520</v>
      </c>
      <c r="F10" s="5">
        <v>0.106</v>
      </c>
      <c r="G10" s="5">
        <v>0.16200000000000001</v>
      </c>
      <c r="H10" s="5">
        <v>0.70799999999999996</v>
      </c>
      <c r="I10" s="5">
        <v>0.77400000000000002</v>
      </c>
      <c r="J10" s="5">
        <v>0.90799999999999992</v>
      </c>
      <c r="K10">
        <v>152.80000000000001</v>
      </c>
    </row>
    <row r="11" spans="1:13" x14ac:dyDescent="0.35">
      <c r="F11" s="4"/>
    </row>
    <row r="12" spans="1:13" x14ac:dyDescent="0.35">
      <c r="F12" s="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0360-B9F0-41E4-A49E-AB7DAA0E8892}">
  <dimension ref="B2:G21"/>
  <sheetViews>
    <sheetView workbookViewId="0">
      <selection activeCell="E20" sqref="E20"/>
    </sheetView>
  </sheetViews>
  <sheetFormatPr defaultRowHeight="15" x14ac:dyDescent="0.35"/>
  <cols>
    <col min="2" max="2" width="14.25" customWidth="1"/>
    <col min="3" max="3" width="17.375" customWidth="1"/>
    <col min="4" max="4" width="10.75" customWidth="1"/>
    <col min="5" max="5" width="14.25" customWidth="1"/>
    <col min="6" max="6" width="18.375" customWidth="1"/>
    <col min="7" max="7" width="19.5" customWidth="1"/>
    <col min="8" max="8" width="28.375" customWidth="1"/>
    <col min="9" max="15" width="18" bestFit="1" customWidth="1"/>
    <col min="16" max="17" width="9.875" bestFit="1" customWidth="1"/>
  </cols>
  <sheetData>
    <row r="2" spans="2:7" ht="51.75" x14ac:dyDescent="0.35">
      <c r="B2" s="8" t="s">
        <v>0</v>
      </c>
      <c r="C2" s="17" t="s">
        <v>20</v>
      </c>
    </row>
    <row r="3" spans="2:7" ht="34.5" x14ac:dyDescent="0.35">
      <c r="B3" t="s">
        <v>3</v>
      </c>
      <c r="C3" s="9">
        <v>5240</v>
      </c>
      <c r="E3" s="8" t="s">
        <v>0</v>
      </c>
      <c r="F3" s="11" t="s">
        <v>21</v>
      </c>
      <c r="G3" s="11" t="s">
        <v>22</v>
      </c>
    </row>
    <row r="4" spans="2:7" ht="17.25" x14ac:dyDescent="0.35">
      <c r="B4" t="s">
        <v>1</v>
      </c>
      <c r="C4" s="9">
        <v>4850</v>
      </c>
      <c r="E4" t="s">
        <v>3</v>
      </c>
      <c r="F4" s="10">
        <v>0.78599999999999992</v>
      </c>
      <c r="G4" s="10">
        <v>0.873</v>
      </c>
    </row>
    <row r="5" spans="2:7" ht="17.25" x14ac:dyDescent="0.35">
      <c r="B5" t="s">
        <v>2</v>
      </c>
      <c r="C5" s="9">
        <v>3920</v>
      </c>
      <c r="E5" t="s">
        <v>1</v>
      </c>
      <c r="F5" s="10">
        <v>0.74199999999999999</v>
      </c>
      <c r="G5" s="10">
        <v>0.82099999999999995</v>
      </c>
    </row>
    <row r="6" spans="2:7" ht="17.25" x14ac:dyDescent="0.35">
      <c r="B6" t="s">
        <v>8</v>
      </c>
      <c r="C6" s="9">
        <v>3680</v>
      </c>
      <c r="E6" t="s">
        <v>8</v>
      </c>
      <c r="F6" s="10">
        <v>0.72400000000000009</v>
      </c>
      <c r="G6" s="10">
        <v>0.78200000000000003</v>
      </c>
    </row>
    <row r="7" spans="2:7" ht="17.25" x14ac:dyDescent="0.35">
      <c r="B7" t="s">
        <v>9</v>
      </c>
      <c r="C7" s="9">
        <v>3520</v>
      </c>
      <c r="E7" t="s">
        <v>2</v>
      </c>
      <c r="F7" s="10">
        <v>0.71799999999999997</v>
      </c>
      <c r="G7" s="10">
        <v>0.79400000000000004</v>
      </c>
    </row>
    <row r="8" spans="2:7" ht="17.25" x14ac:dyDescent="0.35">
      <c r="B8" t="s">
        <v>7</v>
      </c>
      <c r="C8" s="9">
        <v>3380</v>
      </c>
      <c r="E8" t="s">
        <v>9</v>
      </c>
      <c r="F8" s="10">
        <v>0.70799999999999996</v>
      </c>
      <c r="G8" s="10">
        <v>0.77400000000000002</v>
      </c>
    </row>
    <row r="9" spans="2:7" ht="17.25" x14ac:dyDescent="0.35">
      <c r="B9" t="s">
        <v>4</v>
      </c>
      <c r="C9" s="9">
        <v>3240</v>
      </c>
      <c r="E9" t="s">
        <v>7</v>
      </c>
      <c r="F9" s="10">
        <v>0.69599999999999995</v>
      </c>
      <c r="G9" s="10">
        <v>0.76800000000000002</v>
      </c>
    </row>
    <row r="10" spans="2:7" ht="17.25" x14ac:dyDescent="0.35">
      <c r="B10" t="s">
        <v>6</v>
      </c>
      <c r="C10" s="9">
        <v>3140</v>
      </c>
      <c r="E10" t="s">
        <v>4</v>
      </c>
      <c r="F10" s="10">
        <v>0.68400000000000005</v>
      </c>
      <c r="G10" s="10">
        <v>0.74199999999999999</v>
      </c>
    </row>
    <row r="11" spans="2:7" ht="17.25" x14ac:dyDescent="0.35">
      <c r="B11" t="s">
        <v>5</v>
      </c>
      <c r="C11" s="9">
        <v>2980</v>
      </c>
      <c r="E11" t="s">
        <v>6</v>
      </c>
      <c r="F11" s="10">
        <v>0.67200000000000004</v>
      </c>
      <c r="G11" s="10">
        <v>0.73599999999999999</v>
      </c>
    </row>
    <row r="12" spans="2:7" ht="17.25" x14ac:dyDescent="0.35">
      <c r="B12" t="s">
        <v>37</v>
      </c>
      <c r="C12" s="9">
        <v>3772.2222222222222</v>
      </c>
      <c r="E12" t="s">
        <v>5</v>
      </c>
      <c r="F12" s="10">
        <v>0.65799999999999992</v>
      </c>
      <c r="G12" s="10">
        <v>0.71799999999999997</v>
      </c>
    </row>
    <row r="13" spans="2:7" ht="17.25" x14ac:dyDescent="0.35">
      <c r="E13" t="s">
        <v>37</v>
      </c>
      <c r="F13" s="10">
        <v>0.70977777777777773</v>
      </c>
      <c r="G13" s="10">
        <v>0.77866666666666662</v>
      </c>
    </row>
    <row r="14" spans="2:7" ht="34.5" x14ac:dyDescent="0.35">
      <c r="B14" s="8" t="s">
        <v>0</v>
      </c>
      <c r="C14" s="11" t="s">
        <v>23</v>
      </c>
    </row>
    <row r="15" spans="2:7" ht="17.25" x14ac:dyDescent="0.35">
      <c r="B15" t="s">
        <v>4</v>
      </c>
      <c r="C15" s="10">
        <v>8.4000000000000005E-2</v>
      </c>
    </row>
    <row r="16" spans="2:7" ht="17.25" x14ac:dyDescent="0.35">
      <c r="B16" t="s">
        <v>8</v>
      </c>
      <c r="C16" s="10">
        <v>0.114</v>
      </c>
    </row>
    <row r="17" spans="2:3" ht="17.25" x14ac:dyDescent="0.35">
      <c r="B17" t="s">
        <v>2</v>
      </c>
      <c r="C17" s="10">
        <v>0.121</v>
      </c>
    </row>
    <row r="18" spans="2:3" ht="17.25" x14ac:dyDescent="0.35">
      <c r="B18" t="s">
        <v>5</v>
      </c>
      <c r="C18" s="10">
        <v>5.2000000000000005E-2</v>
      </c>
    </row>
    <row r="19" spans="2:3" ht="17.25" x14ac:dyDescent="0.35">
      <c r="B19" t="s">
        <v>6</v>
      </c>
      <c r="C19" s="10">
        <v>7.8E-2</v>
      </c>
    </row>
    <row r="20" spans="2:3" ht="17.25" x14ac:dyDescent="0.35">
      <c r="B20" t="s">
        <v>7</v>
      </c>
      <c r="C20" s="10">
        <v>9.1999999999999998E-2</v>
      </c>
    </row>
    <row r="21" spans="2:3" ht="17.25" x14ac:dyDescent="0.35">
      <c r="B21" t="s">
        <v>9</v>
      </c>
      <c r="C21" s="10">
        <v>0.106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00DE-DE83-4388-BB16-6D45B86FE36E}">
  <dimension ref="B2:J11"/>
  <sheetViews>
    <sheetView workbookViewId="0">
      <selection activeCell="C2" sqref="C2"/>
    </sheetView>
  </sheetViews>
  <sheetFormatPr defaultRowHeight="17.25" x14ac:dyDescent="0.35"/>
  <cols>
    <col min="2" max="2" width="14.25" customWidth="1"/>
    <col min="3" max="7" width="11.5" customWidth="1"/>
    <col min="8" max="8" width="13.375" customWidth="1"/>
    <col min="9" max="10" width="11.5" customWidth="1"/>
  </cols>
  <sheetData>
    <row r="2" spans="2:10" ht="51.75" x14ac:dyDescent="0.35">
      <c r="B2" s="16" t="s">
        <v>0</v>
      </c>
      <c r="C2" s="16" t="s">
        <v>29</v>
      </c>
      <c r="D2" s="16" t="s">
        <v>30</v>
      </c>
      <c r="E2" s="16" t="s">
        <v>31</v>
      </c>
      <c r="F2" s="16" t="s">
        <v>32</v>
      </c>
      <c r="G2" s="16" t="s">
        <v>33</v>
      </c>
      <c r="H2" s="16" t="s">
        <v>34</v>
      </c>
      <c r="I2" s="16" t="s">
        <v>35</v>
      </c>
      <c r="J2" s="16" t="s">
        <v>36</v>
      </c>
    </row>
    <row r="3" spans="2:10" x14ac:dyDescent="0.35">
      <c r="B3" s="12" t="s">
        <v>1</v>
      </c>
      <c r="C3" s="13">
        <f>(Data!B2-MIN(NHI_Readiness[Health Facilities per 100 000]))/(MAX(NHI_Readiness[Health Facilities per 100 000])-MIN(NHI_Readiness[Health Facilities per 100 000]))*10</f>
        <v>8.1333333333333329</v>
      </c>
      <c r="D3" s="13">
        <f>(Data!C2-MIN(NHI_Readiness[Doctors per 100 000]))/(MAX(NHI_Readiness[Doctors per 100 000])-MIN(NHI_Readiness[Doctors per 100 000]))*10</f>
        <v>8.6666666666666661</v>
      </c>
      <c r="E3" s="13">
        <f>(Data!D2-MIN(NHI_Readiness[Nurses per 100 000]))/(MAX(NHI_Readiness[Nurses per 100 000])-MIN(NHI_Readiness[Nurses per 100 000]))*10</f>
        <v>7.8046744574290496</v>
      </c>
      <c r="F3" s="13">
        <f>(MAX(NHI_Readiness[HIV Prevalence])-Data!G2)/(MAX(NHI_Readiness[HIV Prevalence])-MIN(NHI_Readiness[HIV Prevalence]))*10</f>
        <v>7.5229357798165131</v>
      </c>
      <c r="G3" s="13">
        <f>(Data!H2-MIN(NHI_Readiness[TB Treatment Success]))/(MAX(NHI_Readiness[TB Treatment Success])-MIN(NHI_Readiness[TB Treatment Success]))*10</f>
        <v>6.5625000000000053</v>
      </c>
      <c r="H3" s="13">
        <f>(Data!I2-MIN(NHI_Readiness[Immunisation Rate]))/(MAX(NHI_Readiness[Immunisation Rate])-MIN(NHI_Readiness[Immunisation Rate]))*10</f>
        <v>6.6451612903225783</v>
      </c>
      <c r="I3" s="13">
        <f>(Data!J2-MIN(NHI_Readiness[Antenatal Care Coverage]))/(MAX(NHI_Readiness[Antenatal Care Coverage])-MIN(NHI_Readiness[Antenatal Care Coverage]))*10</f>
        <v>8.6842105263157858</v>
      </c>
      <c r="J3" s="13">
        <f>(MAX(NHI_Readiness[Maternal Mortality per 100 000])-Data!K2)/(MAX(NHI_Readiness[Maternal Mortality per 100 000])-MIN(NHI_Readiness[Maternal Mortality per 100 000]))*10</f>
        <v>7.3514306676448991</v>
      </c>
    </row>
    <row r="4" spans="2:10" x14ac:dyDescent="0.35">
      <c r="B4" s="12" t="s">
        <v>2</v>
      </c>
      <c r="C4" s="13">
        <f>(Data!B3-MIN(NHI_Readiness[Health Facilities per 100 000]))/(MAX(NHI_Readiness[Health Facilities per 100 000])-MIN(NHI_Readiness[Health Facilities per 100 000]))*10</f>
        <v>3.9333333333333349</v>
      </c>
      <c r="D4" s="13">
        <f>(Data!C3-MIN(NHI_Readiness[Doctors per 100 000]))/(MAX(NHI_Readiness[Doctors per 100 000])-MIN(NHI_Readiness[Doctors per 100 000]))*10</f>
        <v>2.6666666666666665</v>
      </c>
      <c r="E4" s="13">
        <f>(Data!D3-MIN(NHI_Readiness[Nurses per 100 000]))/(MAX(NHI_Readiness[Nurses per 100 000])-MIN(NHI_Readiness[Nurses per 100 000]))*10</f>
        <v>4.1569282136894845</v>
      </c>
      <c r="F4" s="13">
        <f>(MAX(NHI_Readiness[HIV Prevalence])-Data!G3)/(MAX(NHI_Readiness[HIV Prevalence])-MIN(NHI_Readiness[HIV Prevalence]))*10</f>
        <v>0</v>
      </c>
      <c r="G4" s="13">
        <f>(Data!H3-MIN(NHI_Readiness[TB Treatment Success]))/(MAX(NHI_Readiness[TB Treatment Success])-MIN(NHI_Readiness[TB Treatment Success]))*10</f>
        <v>4.6875000000000036</v>
      </c>
      <c r="H4" s="13">
        <f>(Data!I3-MIN(NHI_Readiness[Immunisation Rate]))/(MAX(NHI_Readiness[Immunisation Rate])-MIN(NHI_Readiness[Immunisation Rate]))*10</f>
        <v>4.9032258064516165</v>
      </c>
      <c r="I4" s="13">
        <f>(Data!J3-MIN(NHI_Readiness[Antenatal Care Coverage]))/(MAX(NHI_Readiness[Antenatal Care Coverage])-MIN(NHI_Readiness[Antenatal Care Coverage]))*10</f>
        <v>5.9649122807017561</v>
      </c>
      <c r="J4" s="13">
        <f>(MAX(NHI_Readiness[Maternal Mortality per 100 000])-Data!K3)/(MAX(NHI_Readiness[Maternal Mortality per 100 000])-MIN(NHI_Readiness[Maternal Mortality per 100 000]))*10</f>
        <v>3.2575201760821719</v>
      </c>
    </row>
    <row r="5" spans="2:10" x14ac:dyDescent="0.35">
      <c r="B5" s="12" t="s">
        <v>3</v>
      </c>
      <c r="C5" s="13">
        <f>(Data!B4-MIN(NHI_Readiness[Health Facilities per 100 000]))/(MAX(NHI_Readiness[Health Facilities per 100 000])-MIN(NHI_Readiness[Health Facilities per 100 000]))*10</f>
        <v>10</v>
      </c>
      <c r="D5" s="13">
        <f>(Data!C4-MIN(NHI_Readiness[Doctors per 100 000]))/(MAX(NHI_Readiness[Doctors per 100 000])-MIN(NHI_Readiness[Doctors per 100 000]))*10</f>
        <v>10</v>
      </c>
      <c r="E5" s="13">
        <f>(Data!D4-MIN(NHI_Readiness[Nurses per 100 000]))/(MAX(NHI_Readiness[Nurses per 100 000])-MIN(NHI_Readiness[Nurses per 100 000]))*10</f>
        <v>10</v>
      </c>
      <c r="F5" s="13">
        <f>(MAX(NHI_Readiness[HIV Prevalence])-Data!G4)/(MAX(NHI_Readiness[HIV Prevalence])-MIN(NHI_Readiness[HIV Prevalence]))*10</f>
        <v>10</v>
      </c>
      <c r="G5" s="13">
        <f>(Data!H4-MIN(NHI_Readiness[TB Treatment Success]))/(MAX(NHI_Readiness[TB Treatment Success])-MIN(NHI_Readiness[TB Treatment Success]))*10</f>
        <v>10</v>
      </c>
      <c r="H5" s="13">
        <f>(Data!I4-MIN(NHI_Readiness[Immunisation Rate]))/(MAX(NHI_Readiness[Immunisation Rate])-MIN(NHI_Readiness[Immunisation Rate]))*10</f>
        <v>10</v>
      </c>
      <c r="I5" s="13">
        <f>(Data!J4-MIN(NHI_Readiness[Antenatal Care Coverage]))/(MAX(NHI_Readiness[Antenatal Care Coverage])-MIN(NHI_Readiness[Antenatal Care Coverage]))*10</f>
        <v>10</v>
      </c>
      <c r="J5" s="13">
        <f>(MAX(NHI_Readiness[Maternal Mortality per 100 000])-Data!K4)/(MAX(NHI_Readiness[Maternal Mortality per 100 000])-MIN(NHI_Readiness[Maternal Mortality per 100 000]))*10</f>
        <v>10</v>
      </c>
    </row>
    <row r="6" spans="2:10" x14ac:dyDescent="0.35">
      <c r="B6" s="12" t="s">
        <v>4</v>
      </c>
      <c r="C6" s="13">
        <f>(Data!B5-MIN(NHI_Readiness[Health Facilities per 100 000]))/(MAX(NHI_Readiness[Health Facilities per 100 000])-MIN(NHI_Readiness[Health Facilities per 100 000]))*10</f>
        <v>1.6000000000000014</v>
      </c>
      <c r="D6" s="13">
        <f>(Data!C5-MIN(NHI_Readiness[Doctors per 100 000]))/(MAX(NHI_Readiness[Doctors per 100 000])-MIN(NHI_Readiness[Doctors per 100 000]))*10</f>
        <v>1.333333333333333</v>
      </c>
      <c r="E6" s="13">
        <f>(Data!D5-MIN(NHI_Readiness[Nurses per 100 000]))/(MAX(NHI_Readiness[Nurses per 100 000])-MIN(NHI_Readiness[Nurses per 100 000]))*10</f>
        <v>1.1853088480801353</v>
      </c>
      <c r="F6" s="13">
        <f>(MAX(NHI_Readiness[HIV Prevalence])-Data!G5)/(MAX(NHI_Readiness[HIV Prevalence])-MIN(NHI_Readiness[HIV Prevalence]))*10</f>
        <v>3.3944954128440368</v>
      </c>
      <c r="G6" s="13">
        <f>(Data!H5-MIN(NHI_Readiness[TB Treatment Success]))/(MAX(NHI_Readiness[TB Treatment Success])-MIN(NHI_Readiness[TB Treatment Success]))*10</f>
        <v>2.0312500000000107</v>
      </c>
      <c r="H6" s="13">
        <f>(Data!I5-MIN(NHI_Readiness[Immunisation Rate]))/(MAX(NHI_Readiness[Immunisation Rate])-MIN(NHI_Readiness[Immunisation Rate]))*10</f>
        <v>1.5483870967741948</v>
      </c>
      <c r="I6" s="13">
        <f>(Data!J5-MIN(NHI_Readiness[Antenatal Care Coverage]))/(MAX(NHI_Readiness[Antenatal Care Coverage])-MIN(NHI_Readiness[Antenatal Care Coverage]))*10</f>
        <v>1.929824561403493</v>
      </c>
      <c r="J6" s="13">
        <f>(MAX(NHI_Readiness[Maternal Mortality per 100 000])-Data!K5)/(MAX(NHI_Readiness[Maternal Mortality per 100 000])-MIN(NHI_Readiness[Maternal Mortality per 100 000]))*10</f>
        <v>0</v>
      </c>
    </row>
    <row r="7" spans="2:10" x14ac:dyDescent="0.35">
      <c r="B7" s="12" t="s">
        <v>5</v>
      </c>
      <c r="C7" s="13">
        <f>(Data!B6-MIN(NHI_Readiness[Health Facilities per 100 000]))/(MAX(NHI_Readiness[Health Facilities per 100 000])-MIN(NHI_Readiness[Health Facilities per 100 000]))*10</f>
        <v>0</v>
      </c>
      <c r="D7" s="13">
        <f>(Data!C6-MIN(NHI_Readiness[Doctors per 100 000]))/(MAX(NHI_Readiness[Doctors per 100 000])-MIN(NHI_Readiness[Doctors per 100 000]))*10</f>
        <v>0</v>
      </c>
      <c r="E7" s="13">
        <f>(Data!D6-MIN(NHI_Readiness[Nurses per 100 000]))/(MAX(NHI_Readiness[Nurses per 100 000])-MIN(NHI_Readiness[Nurses per 100 000]))*10</f>
        <v>0</v>
      </c>
      <c r="F7" s="13">
        <f>(MAX(NHI_Readiness[HIV Prevalence])-Data!G6)/(MAX(NHI_Readiness[HIV Prevalence])-MIN(NHI_Readiness[HIV Prevalence]))*10</f>
        <v>6.7889908256880744</v>
      </c>
      <c r="G7" s="13">
        <f>(Data!H6-MIN(NHI_Readiness[TB Treatment Success]))/(MAX(NHI_Readiness[TB Treatment Success])-MIN(NHI_Readiness[TB Treatment Success]))*10</f>
        <v>0</v>
      </c>
      <c r="H7" s="13">
        <f>(Data!I6-MIN(NHI_Readiness[Immunisation Rate]))/(MAX(NHI_Readiness[Immunisation Rate])-MIN(NHI_Readiness[Immunisation Rate]))*10</f>
        <v>0</v>
      </c>
      <c r="I7" s="13">
        <f>(Data!J6-MIN(NHI_Readiness[Antenatal Care Coverage]))/(MAX(NHI_Readiness[Antenatal Care Coverage])-MIN(NHI_Readiness[Antenatal Care Coverage]))*10</f>
        <v>0</v>
      </c>
      <c r="J7" s="13">
        <f>(MAX(NHI_Readiness[Maternal Mortality per 100 000])-Data!K6)/(MAX(NHI_Readiness[Maternal Mortality per 100 000])-MIN(NHI_Readiness[Maternal Mortality per 100 000]))*10</f>
        <v>0.89508437270726238</v>
      </c>
    </row>
    <row r="8" spans="2:10" x14ac:dyDescent="0.35">
      <c r="B8" s="12" t="s">
        <v>6</v>
      </c>
      <c r="C8" s="13">
        <f>(Data!B7-MIN(NHI_Readiness[Health Facilities per 100 000]))/(MAX(NHI_Readiness[Health Facilities per 100 000])-MIN(NHI_Readiness[Health Facilities per 100 000]))*10</f>
        <v>1.0666666666666675</v>
      </c>
      <c r="D8" s="13">
        <f>(Data!C7-MIN(NHI_Readiness[Doctors per 100 000]))/(MAX(NHI_Readiness[Doctors per 100 000])-MIN(NHI_Readiness[Doctors per 100 000]))*10</f>
        <v>0.4848484848484847</v>
      </c>
      <c r="E8" s="13">
        <f>(Data!D7-MIN(NHI_Readiness[Nurses per 100 000]))/(MAX(NHI_Readiness[Nurses per 100 000])-MIN(NHI_Readiness[Nurses per 100 000]))*10</f>
        <v>0.46744574290484098</v>
      </c>
      <c r="F8" s="13">
        <f>(MAX(NHI_Readiness[HIV Prevalence])-Data!G7)/(MAX(NHI_Readiness[HIV Prevalence])-MIN(NHI_Readiness[HIV Prevalence]))*10</f>
        <v>2.568807339449541</v>
      </c>
      <c r="G8" s="13">
        <f>(Data!H7-MIN(NHI_Readiness[TB Treatment Success]))/(MAX(NHI_Readiness[TB Treatment Success])-MIN(NHI_Readiness[TB Treatment Success]))*10</f>
        <v>1.0937500000000095</v>
      </c>
      <c r="H8" s="13">
        <f>(Data!I7-MIN(NHI_Readiness[Immunisation Rate]))/(MAX(NHI_Readiness[Immunisation Rate])-MIN(NHI_Readiness[Immunisation Rate]))*10</f>
        <v>1.1612903225806461</v>
      </c>
      <c r="I8" s="13">
        <f>(Data!J7-MIN(NHI_Readiness[Antenatal Care Coverage]))/(MAX(NHI_Readiness[Antenatal Care Coverage])-MIN(NHI_Readiness[Antenatal Care Coverage]))*10</f>
        <v>1.2280701754385892</v>
      </c>
      <c r="J8" s="13">
        <f>(MAX(NHI_Readiness[Maternal Mortality per 100 000])-Data!K7)/(MAX(NHI_Readiness[Maternal Mortality per 100 000])-MIN(NHI_Readiness[Maternal Mortality per 100 000]))*10</f>
        <v>1.8928833455612606</v>
      </c>
    </row>
    <row r="9" spans="2:10" x14ac:dyDescent="0.35">
      <c r="B9" s="12" t="s">
        <v>7</v>
      </c>
      <c r="C9" s="13">
        <f>(Data!B8-MIN(NHI_Readiness[Health Facilities per 100 000]))/(MAX(NHI_Readiness[Health Facilities per 100 000])-MIN(NHI_Readiness[Health Facilities per 100 000]))*10</f>
        <v>2.1333333333333329</v>
      </c>
      <c r="D9" s="13">
        <f>(Data!C8-MIN(NHI_Readiness[Doctors per 100 000]))/(MAX(NHI_Readiness[Doctors per 100 000])-MIN(NHI_Readiness[Doctors per 100 000]))*10</f>
        <v>1.1515151515151512</v>
      </c>
      <c r="E9" s="13">
        <f>(Data!D8-MIN(NHI_Readiness[Nurses per 100 000]))/(MAX(NHI_Readiness[Nurses per 100 000])-MIN(NHI_Readiness[Nurses per 100 000]))*10</f>
        <v>1.6527545909849761</v>
      </c>
      <c r="F9" s="13">
        <f>(MAX(NHI_Readiness[HIV Prevalence])-Data!G8)/(MAX(NHI_Readiness[HIV Prevalence])-MIN(NHI_Readiness[HIV Prevalence]))*10</f>
        <v>5.4128440366972495</v>
      </c>
      <c r="G9" s="13">
        <f>(Data!H8-MIN(NHI_Readiness[TB Treatment Success]))/(MAX(NHI_Readiness[TB Treatment Success])-MIN(NHI_Readiness[TB Treatment Success]))*10</f>
        <v>2.9687500000000027</v>
      </c>
      <c r="H9" s="13">
        <f>(Data!I8-MIN(NHI_Readiness[Immunisation Rate]))/(MAX(NHI_Readiness[Immunisation Rate])-MIN(NHI_Readiness[Immunisation Rate]))*10</f>
        <v>3.2258064516129052</v>
      </c>
      <c r="I9" s="13">
        <f>(Data!J8-MIN(NHI_Readiness[Antenatal Care Coverage]))/(MAX(NHI_Readiness[Antenatal Care Coverage])-MIN(NHI_Readiness[Antenatal Care Coverage]))*10</f>
        <v>2.6315789473684164</v>
      </c>
      <c r="J9" s="13">
        <f>(MAX(NHI_Readiness[Maternal Mortality per 100 000])-Data!K8)/(MAX(NHI_Readiness[Maternal Mortality per 100 000])-MIN(NHI_Readiness[Maternal Mortality per 100 000]))*10</f>
        <v>2.6559060895084361</v>
      </c>
    </row>
    <row r="10" spans="2:10" x14ac:dyDescent="0.35">
      <c r="B10" s="12" t="s">
        <v>8</v>
      </c>
      <c r="C10" s="13">
        <f>(Data!B9-MIN(NHI_Readiness[Health Facilities per 100 000]))/(MAX(NHI_Readiness[Health Facilities per 100 000])-MIN(NHI_Readiness[Health Facilities per 100 000]))*10</f>
        <v>3.6000000000000014</v>
      </c>
      <c r="D10" s="13">
        <f>(Data!C9-MIN(NHI_Readiness[Doctors per 100 000]))/(MAX(NHI_Readiness[Doctors per 100 000])-MIN(NHI_Readiness[Doctors per 100 000]))*10</f>
        <v>2.1212121212121211</v>
      </c>
      <c r="E10" s="13">
        <f>(Data!D9-MIN(NHI_Readiness[Nurses per 100 000]))/(MAX(NHI_Readiness[Nurses per 100 000])-MIN(NHI_Readiness[Nurses per 100 000]))*10</f>
        <v>2.8380634390651087</v>
      </c>
      <c r="F10" s="13">
        <f>(MAX(NHI_Readiness[HIV Prevalence])-Data!G9)/(MAX(NHI_Readiness[HIV Prevalence])-MIN(NHI_Readiness[HIV Prevalence]))*10</f>
        <v>4.4036697247706416</v>
      </c>
      <c r="G10" s="13">
        <f>(Data!H9-MIN(NHI_Readiness[TB Treatment Success]))/(MAX(NHI_Readiness[TB Treatment Success])-MIN(NHI_Readiness[TB Treatment Success]))*10</f>
        <v>5.1562500000000133</v>
      </c>
      <c r="H10" s="13">
        <f>(Data!I9-MIN(NHI_Readiness[Immunisation Rate]))/(MAX(NHI_Readiness[Immunisation Rate])-MIN(NHI_Readiness[Immunisation Rate]))*10</f>
        <v>4.1290322580645187</v>
      </c>
      <c r="I10" s="13">
        <f>(Data!J9-MIN(NHI_Readiness[Antenatal Care Coverage]))/(MAX(NHI_Readiness[Antenatal Care Coverage])-MIN(NHI_Readiness[Antenatal Care Coverage]))*10</f>
        <v>4.5614035087719191</v>
      </c>
      <c r="J10" s="13">
        <f>(MAX(NHI_Readiness[Maternal Mortality per 100 000])-Data!K9)/(MAX(NHI_Readiness[Maternal Mortality per 100 000])-MIN(NHI_Readiness[Maternal Mortality per 100 000]))*10</f>
        <v>4.1085840058694059</v>
      </c>
    </row>
    <row r="11" spans="2:10" x14ac:dyDescent="0.35">
      <c r="B11" s="12" t="s">
        <v>9</v>
      </c>
      <c r="C11" s="13">
        <f>(Data!B10-MIN(NHI_Readiness[Health Facilities per 100 000]))/(MAX(NHI_Readiness[Health Facilities per 100 000])-MIN(NHI_Readiness[Health Facilities per 100 000]))*10</f>
        <v>3.0666666666666673</v>
      </c>
      <c r="D11" s="13">
        <f>(Data!C10-MIN(NHI_Readiness[Doctors per 100 000]))/(MAX(NHI_Readiness[Doctors per 100 000])-MIN(NHI_Readiness[Doctors per 100 000]))*10</f>
        <v>1.6969696969696968</v>
      </c>
      <c r="E11" s="13">
        <f>(Data!D10-MIN(NHI_Readiness[Nurses per 100 000]))/(MAX(NHI_Readiness[Nurses per 100 000])-MIN(NHI_Readiness[Nurses per 100 000]))*10</f>
        <v>2.1869782971619385</v>
      </c>
      <c r="F11" s="13">
        <f>(MAX(NHI_Readiness[HIV Prevalence])-Data!G10)/(MAX(NHI_Readiness[HIV Prevalence])-MIN(NHI_Readiness[HIV Prevalence]))*10</f>
        <v>8.2568807339449553</v>
      </c>
      <c r="G11" s="13">
        <f>(Data!H10-MIN(NHI_Readiness[TB Treatment Success]))/(MAX(NHI_Readiness[TB Treatment Success])-MIN(NHI_Readiness[TB Treatment Success]))*10</f>
        <v>3.9062500000000036</v>
      </c>
      <c r="H11" s="13">
        <f>(Data!I10-MIN(NHI_Readiness[Immunisation Rate]))/(MAX(NHI_Readiness[Immunisation Rate])-MIN(NHI_Readiness[Immunisation Rate]))*10</f>
        <v>3.6129032258064542</v>
      </c>
      <c r="I11" s="13">
        <f>(Data!J10-MIN(NHI_Readiness[Antenatal Care Coverage]))/(MAX(NHI_Readiness[Antenatal Care Coverage])-MIN(NHI_Readiness[Antenatal Care Coverage]))*10</f>
        <v>3.8596491228070056</v>
      </c>
      <c r="J11" s="13">
        <f>(MAX(NHI_Readiness[Maternal Mortality per 100 000])-Data!K10)/(MAX(NHI_Readiness[Maternal Mortality per 100 000])-MIN(NHI_Readiness[Maternal Mortality per 100 000]))*10</f>
        <v>3.3602347762289053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7EBB-03F3-4318-BD5A-6D239ECAE57D}">
  <dimension ref="C2:H11"/>
  <sheetViews>
    <sheetView workbookViewId="0">
      <selection activeCell="D3" sqref="D3"/>
    </sheetView>
  </sheetViews>
  <sheetFormatPr defaultRowHeight="17.25" x14ac:dyDescent="0.35"/>
  <cols>
    <col min="3" max="3" width="14.25" customWidth="1"/>
    <col min="4" max="4" width="16.25" customWidth="1"/>
    <col min="5" max="5" width="16" customWidth="1"/>
    <col min="6" max="6" width="17" customWidth="1"/>
    <col min="7" max="7" width="13.875" customWidth="1"/>
    <col min="8" max="8" width="9.75" customWidth="1"/>
  </cols>
  <sheetData>
    <row r="2" spans="3:8" ht="34.5" x14ac:dyDescent="0.35">
      <c r="C2" s="14" t="s">
        <v>0</v>
      </c>
      <c r="D2" s="15" t="s">
        <v>24</v>
      </c>
      <c r="E2" s="15" t="s">
        <v>25</v>
      </c>
      <c r="F2" s="15" t="s">
        <v>26</v>
      </c>
      <c r="G2" s="15" t="s">
        <v>27</v>
      </c>
      <c r="H2" s="15" t="s">
        <v>28</v>
      </c>
    </row>
    <row r="3" spans="3:8" x14ac:dyDescent="0.35">
      <c r="C3" s="12" t="s">
        <v>1</v>
      </c>
      <c r="D3" s="13">
        <f>AVERAGE(Normalisation!C3:E3)</f>
        <v>8.2015581524763501</v>
      </c>
      <c r="E3" s="13">
        <f>AVERAGE(Normalisation!F3:G3)</f>
        <v>7.0427178899082588</v>
      </c>
      <c r="F3" s="13">
        <f>AVERAGE(Normalisation!H3:J3)</f>
        <v>7.5602674947610877</v>
      </c>
      <c r="G3" s="13">
        <f>AVERAGE(D3:F3)</f>
        <v>7.6015145123818995</v>
      </c>
      <c r="H3" s="12" t="str" cm="1">
        <f t="array" ref="H3:H11">_xlfn.IFS(G3:G11&gt;7,"Ready", 5&lt;=G3:G11&lt;=7, "Caution", G3:G11&lt;5,"Not Ready")</f>
        <v>Ready</v>
      </c>
    </row>
    <row r="4" spans="3:8" x14ac:dyDescent="0.35">
      <c r="C4" s="12" t="s">
        <v>2</v>
      </c>
      <c r="D4" s="13">
        <f>AVERAGE(Normalisation!C4:E4)</f>
        <v>3.5856427378964955</v>
      </c>
      <c r="E4" s="13">
        <f>AVERAGE(Normalisation!F4:G4)</f>
        <v>2.3437500000000018</v>
      </c>
      <c r="F4" s="13">
        <f>AVERAGE(Normalisation!H4:J4)</f>
        <v>4.7085527544118486</v>
      </c>
      <c r="G4" s="13">
        <f t="shared" ref="G4:G11" si="0">AVERAGE(D4:F4)</f>
        <v>3.5459818307694491</v>
      </c>
      <c r="H4" s="12" t="str">
        <v>Not Ready</v>
      </c>
    </row>
    <row r="5" spans="3:8" x14ac:dyDescent="0.35">
      <c r="C5" s="12" t="s">
        <v>3</v>
      </c>
      <c r="D5" s="13">
        <f>AVERAGE(Normalisation!C5:E5)</f>
        <v>10</v>
      </c>
      <c r="E5" s="13">
        <f>AVERAGE(Normalisation!F5:G5)</f>
        <v>10</v>
      </c>
      <c r="F5" s="13">
        <f>AVERAGE(Normalisation!H5:J5)</f>
        <v>10</v>
      </c>
      <c r="G5" s="13">
        <f t="shared" si="0"/>
        <v>10</v>
      </c>
      <c r="H5" s="12" t="str">
        <v>Ready</v>
      </c>
    </row>
    <row r="6" spans="3:8" x14ac:dyDescent="0.35">
      <c r="C6" s="12" t="s">
        <v>4</v>
      </c>
      <c r="D6" s="13">
        <f>AVERAGE(Normalisation!C6:E6)</f>
        <v>1.3728807271378232</v>
      </c>
      <c r="E6" s="13">
        <f>AVERAGE(Normalisation!F6:G6)</f>
        <v>2.7128727064220239</v>
      </c>
      <c r="F6" s="13">
        <f>AVERAGE(Normalisation!H6:J6)</f>
        <v>1.1594038860592293</v>
      </c>
      <c r="G6" s="13">
        <f t="shared" si="0"/>
        <v>1.748385773206359</v>
      </c>
      <c r="H6" s="12" t="str">
        <v>Not Ready</v>
      </c>
    </row>
    <row r="7" spans="3:8" x14ac:dyDescent="0.35">
      <c r="C7" s="12" t="s">
        <v>5</v>
      </c>
      <c r="D7" s="13">
        <f>AVERAGE(Normalisation!C7:E7)</f>
        <v>0</v>
      </c>
      <c r="E7" s="13">
        <f>AVERAGE(Normalisation!F7:G7)</f>
        <v>3.3944954128440372</v>
      </c>
      <c r="F7" s="13">
        <f>AVERAGE(Normalisation!H7:J7)</f>
        <v>0.29836145756908744</v>
      </c>
      <c r="G7" s="13">
        <f t="shared" si="0"/>
        <v>1.2309522901377081</v>
      </c>
      <c r="H7" s="12" t="str">
        <v>Not Ready</v>
      </c>
    </row>
    <row r="8" spans="3:8" x14ac:dyDescent="0.35">
      <c r="C8" s="12" t="s">
        <v>6</v>
      </c>
      <c r="D8" s="13">
        <f>AVERAGE(Normalisation!C8:E8)</f>
        <v>0.67298696480666431</v>
      </c>
      <c r="E8" s="13">
        <f>AVERAGE(Normalisation!F8:G8)</f>
        <v>1.8312786697247754</v>
      </c>
      <c r="F8" s="13">
        <f>AVERAGE(Normalisation!H8:J8)</f>
        <v>1.427414614526832</v>
      </c>
      <c r="G8" s="13">
        <f t="shared" si="0"/>
        <v>1.3105600830194239</v>
      </c>
      <c r="H8" s="12" t="str">
        <v>Not Ready</v>
      </c>
    </row>
    <row r="9" spans="3:8" x14ac:dyDescent="0.35">
      <c r="C9" s="12" t="s">
        <v>7</v>
      </c>
      <c r="D9" s="13">
        <f>AVERAGE(Normalisation!C9:E9)</f>
        <v>1.6458676919444868</v>
      </c>
      <c r="E9" s="13">
        <f>AVERAGE(Normalisation!F9:G9)</f>
        <v>4.1907970183486256</v>
      </c>
      <c r="F9" s="13">
        <f>AVERAGE(Normalisation!H9:J9)</f>
        <v>2.8377638294965859</v>
      </c>
      <c r="G9" s="13">
        <f t="shared" si="0"/>
        <v>2.8914761799298994</v>
      </c>
      <c r="H9" s="12" t="str">
        <v>Not Ready</v>
      </c>
    </row>
    <row r="10" spans="3:8" x14ac:dyDescent="0.35">
      <c r="C10" s="12" t="s">
        <v>8</v>
      </c>
      <c r="D10" s="13">
        <f>AVERAGE(Normalisation!C10:E10)</f>
        <v>2.8530918534257439</v>
      </c>
      <c r="E10" s="13">
        <f>AVERAGE(Normalisation!F10:G10)</f>
        <v>4.7799598623853274</v>
      </c>
      <c r="F10" s="13">
        <f>AVERAGE(Normalisation!H10:J10)</f>
        <v>4.2663399242352815</v>
      </c>
      <c r="G10" s="13">
        <f t="shared" si="0"/>
        <v>3.9664638800154512</v>
      </c>
      <c r="H10" s="12" t="str">
        <v>Not Ready</v>
      </c>
    </row>
    <row r="11" spans="3:8" x14ac:dyDescent="0.35">
      <c r="C11" s="12" t="s">
        <v>9</v>
      </c>
      <c r="D11" s="13">
        <f>AVERAGE(Normalisation!C11:E11)</f>
        <v>2.3168715535994342</v>
      </c>
      <c r="E11" s="13">
        <f>AVERAGE(Normalisation!F11:G11)</f>
        <v>6.0815653669724794</v>
      </c>
      <c r="F11" s="13">
        <f>AVERAGE(Normalisation!H11:J11)</f>
        <v>3.610929041614122</v>
      </c>
      <c r="G11" s="13">
        <f t="shared" si="0"/>
        <v>4.0031219873953452</v>
      </c>
      <c r="H11" s="12" t="str">
        <v>Not Ready</v>
      </c>
    </row>
  </sheetData>
  <conditionalFormatting sqref="H3:H11">
    <cfRule type="containsText" dxfId="17" priority="1" operator="containsText" text="Caution">
      <formula>NOT(ISERROR(SEARCH("Caution",H3)))</formula>
    </cfRule>
    <cfRule type="containsText" dxfId="16" priority="2" operator="containsText" text="Not">
      <formula>NOT(ISERROR(SEARCH("Not",H3)))</formula>
    </cfRule>
    <cfRule type="containsText" dxfId="15" priority="3" operator="containsText" text="Ready">
      <formula>NOT(ISERROR(SEARCH("Ready",H3)))</formula>
    </cfRule>
    <cfRule type="containsText" dxfId="14" priority="4" operator="containsText" text="Not Ready">
      <formula>NOT(ISERROR(SEARCH("Not Ready",H3)))</formula>
    </cfRule>
    <cfRule type="containsText" dxfId="13" priority="6" operator="containsText" text="Amber">
      <formula>NOT(ISERROR(SEARCH("Amber",H3)))</formula>
    </cfRule>
    <cfRule type="containsText" dxfId="12" priority="7" operator="containsText" text="Red">
      <formula>NOT(ISERROR(SEARCH("Red",H3)))</formula>
    </cfRule>
    <cfRule type="containsText" dxfId="11" priority="8" operator="containsText" text="Green">
      <formula>NOT(ISERROR(SEARCH("Green",H3)))</formula>
    </cfRule>
  </conditionalFormatting>
  <conditionalFormatting sqref="I2">
    <cfRule type="expression" dxfId="10" priority="10">
      <formula>_xlfn.IFS(G3:G11&gt;7,"Green")</formula>
    </cfRule>
  </conditionalFormatting>
  <conditionalFormatting sqref="I3:I11">
    <cfRule type="expression" dxfId="9" priority="9">
      <formula>_xlfn.IFS(G3:G11&gt;7,"Green")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758E-987B-4D39-B99D-3E13C4702C5E}">
  <dimension ref="A1:C22"/>
  <sheetViews>
    <sheetView showGridLines="0" tabSelected="1" zoomScaleNormal="100" workbookViewId="0">
      <selection activeCell="N8" sqref="N8"/>
    </sheetView>
  </sheetViews>
  <sheetFormatPr defaultRowHeight="17.25" x14ac:dyDescent="0.35"/>
  <cols>
    <col min="1" max="1" width="14.25" customWidth="1"/>
    <col min="2" max="2" width="13.625" customWidth="1"/>
    <col min="3" max="3" width="19.375" customWidth="1"/>
    <col min="4" max="4" width="23.5" bestFit="1" customWidth="1"/>
    <col min="5" max="5" width="13.125" bestFit="1" customWidth="1"/>
    <col min="6" max="6" width="6.25" bestFit="1" customWidth="1"/>
    <col min="7" max="7" width="10.5" customWidth="1"/>
    <col min="8" max="8" width="6.5" customWidth="1"/>
    <col min="9" max="9" width="13.25" customWidth="1"/>
    <col min="10" max="10" width="9.875" bestFit="1" customWidth="1"/>
  </cols>
  <sheetData>
    <row r="1" spans="1:3" ht="34.5" x14ac:dyDescent="0.35">
      <c r="A1" s="24" t="s">
        <v>0</v>
      </c>
      <c r="B1" s="25" t="s">
        <v>27</v>
      </c>
      <c r="C1" s="25" t="s">
        <v>28</v>
      </c>
    </row>
    <row r="2" spans="1:3" x14ac:dyDescent="0.35">
      <c r="A2" s="22" t="str">
        <f>Scorecard!C3</f>
        <v>Gauteng</v>
      </c>
      <c r="B2" s="19">
        <f>Scorecard!G3</f>
        <v>7.6015145123818995</v>
      </c>
      <c r="C2" s="18" t="str">
        <f>Scorecard!H3</f>
        <v>Ready</v>
      </c>
    </row>
    <row r="3" spans="1:3" x14ac:dyDescent="0.35">
      <c r="A3" s="23" t="str">
        <f>Scorecard!C4</f>
        <v>KwaZulu-Natal</v>
      </c>
      <c r="B3" s="21">
        <f>Scorecard!G4</f>
        <v>3.5459818307694491</v>
      </c>
      <c r="C3" s="20" t="str">
        <f>Scorecard!H4</f>
        <v>Not Ready</v>
      </c>
    </row>
    <row r="4" spans="1:3" x14ac:dyDescent="0.35">
      <c r="A4" s="22" t="str">
        <f>Scorecard!C5</f>
        <v>Western Cape</v>
      </c>
      <c r="B4" s="19">
        <f>Scorecard!G5</f>
        <v>10</v>
      </c>
      <c r="C4" s="18" t="str">
        <f>Scorecard!H5</f>
        <v>Ready</v>
      </c>
    </row>
    <row r="5" spans="1:3" x14ac:dyDescent="0.35">
      <c r="A5" s="23" t="str">
        <f>Scorecard!C6</f>
        <v>Eastern Cape</v>
      </c>
      <c r="B5" s="21">
        <f>Scorecard!G6</f>
        <v>1.748385773206359</v>
      </c>
      <c r="C5" s="20" t="str">
        <f>Scorecard!H6</f>
        <v>Not Ready</v>
      </c>
    </row>
    <row r="6" spans="1:3" x14ac:dyDescent="0.35">
      <c r="A6" s="22" t="str">
        <f>Scorecard!C7</f>
        <v>Limpopo</v>
      </c>
      <c r="B6" s="19">
        <f>Scorecard!G7</f>
        <v>1.2309522901377081</v>
      </c>
      <c r="C6" s="18" t="str">
        <f>Scorecard!H7</f>
        <v>Not Ready</v>
      </c>
    </row>
    <row r="7" spans="1:3" x14ac:dyDescent="0.35">
      <c r="A7" s="23" t="str">
        <f>Scorecard!C8</f>
        <v>Mpumalanga</v>
      </c>
      <c r="B7" s="21">
        <f>Scorecard!G8</f>
        <v>1.3105600830194239</v>
      </c>
      <c r="C7" s="20" t="str">
        <f>Scorecard!H8</f>
        <v>Not Ready</v>
      </c>
    </row>
    <row r="8" spans="1:3" x14ac:dyDescent="0.35">
      <c r="A8" s="22" t="str">
        <f>Scorecard!C9</f>
        <v>North West</v>
      </c>
      <c r="B8" s="19">
        <f>Scorecard!G9</f>
        <v>2.8914761799298994</v>
      </c>
      <c r="C8" s="18" t="str">
        <f>Scorecard!H9</f>
        <v>Not Ready</v>
      </c>
    </row>
    <row r="9" spans="1:3" x14ac:dyDescent="0.35">
      <c r="A9" s="23" t="str">
        <f>Scorecard!C10</f>
        <v>Free State</v>
      </c>
      <c r="B9" s="21">
        <f>Scorecard!G10</f>
        <v>3.9664638800154512</v>
      </c>
      <c r="C9" s="20" t="str">
        <f>Scorecard!H10</f>
        <v>Not Ready</v>
      </c>
    </row>
    <row r="10" spans="1:3" x14ac:dyDescent="0.35">
      <c r="A10" s="22" t="str">
        <f>Scorecard!C11</f>
        <v>Northern Cape</v>
      </c>
      <c r="B10" s="19">
        <f>Scorecard!G11</f>
        <v>4.0031219873953452</v>
      </c>
      <c r="C10" s="18" t="str">
        <f>Scorecard!H11</f>
        <v>Not Ready</v>
      </c>
    </row>
    <row r="12" spans="1:3" x14ac:dyDescent="0.35">
      <c r="A12" s="8" t="s">
        <v>38</v>
      </c>
      <c r="B12" s="8" t="s">
        <v>28</v>
      </c>
    </row>
    <row r="13" spans="1:3" x14ac:dyDescent="0.35">
      <c r="A13" s="8" t="s">
        <v>0</v>
      </c>
      <c r="B13" t="s">
        <v>39</v>
      </c>
      <c r="C13" t="s">
        <v>40</v>
      </c>
    </row>
    <row r="14" spans="1:3" x14ac:dyDescent="0.35">
      <c r="A14" t="s">
        <v>4</v>
      </c>
      <c r="B14" s="26">
        <v>1.748385773206359</v>
      </c>
      <c r="C14" s="26"/>
    </row>
    <row r="15" spans="1:3" x14ac:dyDescent="0.35">
      <c r="A15" t="s">
        <v>8</v>
      </c>
      <c r="B15" s="26">
        <v>3.9664638800154512</v>
      </c>
      <c r="C15" s="26"/>
    </row>
    <row r="16" spans="1:3" x14ac:dyDescent="0.35">
      <c r="A16" t="s">
        <v>1</v>
      </c>
      <c r="B16" s="26"/>
      <c r="C16" s="26">
        <v>7.6015145123818995</v>
      </c>
    </row>
    <row r="17" spans="1:3" x14ac:dyDescent="0.35">
      <c r="A17" t="s">
        <v>2</v>
      </c>
      <c r="B17" s="26">
        <v>3.5459818307694491</v>
      </c>
      <c r="C17" s="26"/>
    </row>
    <row r="18" spans="1:3" x14ac:dyDescent="0.35">
      <c r="A18" t="s">
        <v>5</v>
      </c>
      <c r="B18" s="26">
        <v>1.2309522901377081</v>
      </c>
      <c r="C18" s="26"/>
    </row>
    <row r="19" spans="1:3" x14ac:dyDescent="0.35">
      <c r="A19" t="s">
        <v>6</v>
      </c>
      <c r="B19" s="26">
        <v>1.3105600830194239</v>
      </c>
      <c r="C19" s="26"/>
    </row>
    <row r="20" spans="1:3" x14ac:dyDescent="0.35">
      <c r="A20" t="s">
        <v>7</v>
      </c>
      <c r="B20" s="26">
        <v>2.8914761799298994</v>
      </c>
      <c r="C20" s="26"/>
    </row>
    <row r="21" spans="1:3" x14ac:dyDescent="0.35">
      <c r="A21" t="s">
        <v>9</v>
      </c>
      <c r="B21" s="26">
        <v>4.0031219873953452</v>
      </c>
      <c r="C21" s="26"/>
    </row>
    <row r="22" spans="1:3" x14ac:dyDescent="0.35">
      <c r="A22" t="s">
        <v>3</v>
      </c>
      <c r="B22" s="26"/>
      <c r="C22" s="26">
        <v>10</v>
      </c>
    </row>
  </sheetData>
  <conditionalFormatting sqref="C2:C10">
    <cfRule type="containsText" dxfId="8" priority="4" operator="containsText" text="Caution">
      <formula>NOT(ISERROR(SEARCH("Caution",C2)))</formula>
    </cfRule>
    <cfRule type="containsText" dxfId="7" priority="5" operator="containsText" text="Not">
      <formula>NOT(ISERROR(SEARCH("Not",C2)))</formula>
    </cfRule>
    <cfRule type="containsText" dxfId="6" priority="6" operator="containsText" text="Ready">
      <formula>NOT(ISERROR(SEARCH("Ready",C2)))</formula>
    </cfRule>
    <cfRule type="containsText" dxfId="5" priority="7" operator="containsText" text="Not Ready">
      <formula>NOT(ISERROR(SEARCH("Not Ready",C2)))</formula>
    </cfRule>
    <cfRule type="containsText" dxfId="4" priority="8" operator="containsText" text="Amber">
      <formula>NOT(ISERROR(SEARCH("Amber",C2)))</formula>
    </cfRule>
    <cfRule type="containsText" dxfId="3" priority="9" operator="containsText" text="Red">
      <formula>NOT(ISERROR(SEARCH("Red",C2)))</formula>
    </cfRule>
    <cfRule type="containsText" dxfId="2" priority="10" operator="containsText" text="Green">
      <formula>NOT(ISERROR(SEARCH("Green",C2)))</formula>
    </cfRule>
  </conditionalFormatting>
  <conditionalFormatting pivot="1" sqref="B14:C22">
    <cfRule type="cellIs" dxfId="1" priority="2" operator="greaterThan">
      <formula>7</formula>
    </cfRule>
  </conditionalFormatting>
  <conditionalFormatting pivot="1" sqref="B14:C22">
    <cfRule type="cellIs" dxfId="0" priority="1" operator="lessThan">
      <formula>5</formula>
    </cfRule>
  </conditionalFormatting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Pivot Analysis</vt:lpstr>
      <vt:lpstr>Normalisation</vt:lpstr>
      <vt:lpstr>Scorecard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Phumza Nkosi</dc:creator>
  <cp:lastModifiedBy>Phumza Nkosi</cp:lastModifiedBy>
  <dcterms:created xsi:type="dcterms:W3CDTF">2026-04-25T12:53:43Z</dcterms:created>
  <dcterms:modified xsi:type="dcterms:W3CDTF">2026-05-25T13:15:32Z</dcterms:modified>
</cp:coreProperties>
</file>