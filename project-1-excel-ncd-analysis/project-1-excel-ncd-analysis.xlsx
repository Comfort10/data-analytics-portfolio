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comfo\OneDrive - University of Pretoria\Documents\Projects\Microsoft Excel\"/>
    </mc:Choice>
  </mc:AlternateContent>
  <xr:revisionPtr revIDLastSave="0" documentId="13_ncr:1_{E9F8DDCB-6766-4490-86F3-88BE25B592A9}" xr6:coauthVersionLast="47" xr6:coauthVersionMax="47" xr10:uidLastSave="{00000000-0000-0000-0000-000000000000}"/>
  <bookViews>
    <workbookView xWindow="-120" yWindow="-120" windowWidth="20730" windowHeight="11040" activeTab="4" xr2:uid="{C924CD37-D318-4EA2-931E-F5FA41CE78BA}"/>
  </bookViews>
  <sheets>
    <sheet name="Raw Data" sheetId="1" r:id="rId1"/>
    <sheet name="Pivot Analysis" sheetId="2" r:id="rId2"/>
    <sheet name="Lookup Tool" sheetId="3" r:id="rId3"/>
    <sheet name="Charts" sheetId="4" r:id="rId4"/>
    <sheet name="NCD Dashboard" sheetId="5" r:id="rId5"/>
  </sheets>
  <calcPr calcId="191029"/>
  <pivotCaches>
    <pivotCache cacheId="51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1" l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</calcChain>
</file>

<file path=xl/sharedStrings.xml><?xml version="1.0" encoding="utf-8"?>
<sst xmlns="http://schemas.openxmlformats.org/spreadsheetml/2006/main" count="90" uniqueCount="26">
  <si>
    <t>Year</t>
  </si>
  <si>
    <t>Province</t>
  </si>
  <si>
    <t>Hypertension Awareness (%)</t>
  </si>
  <si>
    <t>On Treatment (%)</t>
  </si>
  <si>
    <t>Controlled (%)</t>
  </si>
  <si>
    <t>Gauteng</t>
  </si>
  <si>
    <t>KwaZulu-Natal</t>
  </si>
  <si>
    <t>Population (in millions)</t>
  </si>
  <si>
    <t>Western Cape</t>
  </si>
  <si>
    <t>Eastern Cape</t>
  </si>
  <si>
    <t>Diabetes Prevalence</t>
  </si>
  <si>
    <t>Hypertension Prevalence</t>
  </si>
  <si>
    <t>Grand Total</t>
  </si>
  <si>
    <t>Average of Hypertension Awareness (%)</t>
  </si>
  <si>
    <t>Average of On Treatment (%)</t>
  </si>
  <si>
    <t>Average of Controlled (%)</t>
  </si>
  <si>
    <t>NSP 2030 Awareness Target (%)</t>
  </si>
  <si>
    <t>NSP 2030 Treatment Target (%)</t>
  </si>
  <si>
    <t>NSP 2030 Control Target (%)</t>
  </si>
  <si>
    <t>NSP 2030 Awareness Target (Met/Not Met)</t>
  </si>
  <si>
    <t>NSP 2030 Treatment Target (Met/Not Met)</t>
  </si>
  <si>
    <t>NSP 2030 Control Target (Met/Not Met)</t>
  </si>
  <si>
    <t>Average of Hypertension Prevalence</t>
  </si>
  <si>
    <t>Avg Prev Diabetes</t>
  </si>
  <si>
    <t>SA Non-Communicable Disease Trend Analysis 2012–2022</t>
  </si>
  <si>
    <t>Diabetes &amp; Hypertension Burden Across Selected Provinces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</si>
</sst>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8"/>
      <color theme="0"/>
      <name val="ADLaM Display"/>
    </font>
    <font>
      <sz val="11"/>
      <color theme="1"/>
      <name val="Amasis MT Pro Medium"/>
      <family val="1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164" fontId="0" fillId="0" borderId="0" xfId="0" applyNumberFormat="1"/>
    <xf numFmtId="165" fontId="0" fillId="0" borderId="0" xfId="0" applyNumberFormat="1"/>
    <xf numFmtId="165" fontId="0" fillId="0" borderId="0" xfId="1" applyNumberFormat="1" applyFont="1"/>
    <xf numFmtId="0" fontId="0" fillId="0" borderId="0" xfId="0" pivotButton="1"/>
    <xf numFmtId="2" fontId="0" fillId="0" borderId="0" xfId="0" applyNumberFormat="1"/>
    <xf numFmtId="0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horizontal="left"/>
    </xf>
    <xf numFmtId="0" fontId="3" fillId="2" borderId="0" xfId="0" applyFont="1" applyFill="1"/>
    <xf numFmtId="0" fontId="4" fillId="0" borderId="0" xfId="0" applyFont="1"/>
  </cellXfs>
  <cellStyles count="2">
    <cellStyle name="Normal" xfId="0" builtinId="0"/>
    <cellStyle name="Per cent" xfId="1" builtinId="5"/>
  </cellStyles>
  <dxfs count="23">
    <dxf>
      <fill>
        <patternFill patternType="solid">
          <bgColor theme="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 patternType="solid">
          <bgColor theme="5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0.0%"/>
    </dxf>
    <dxf>
      <alignment horizontal="general" vertical="top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1 NCD Analysis.xlsx]Pivot Analysis!PivotTable17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Analysis'!$H$14</c:f>
              <c:strCache>
                <c:ptCount val="1"/>
                <c:pt idx="0">
                  <c:v>Average of Hypertension Awareness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Analysis'!$G$15:$G$19</c:f>
              <c:strCache>
                <c:ptCount val="4"/>
                <c:pt idx="0">
                  <c:v>Eastern Cape</c:v>
                </c:pt>
                <c:pt idx="1">
                  <c:v>Gauteng</c:v>
                </c:pt>
                <c:pt idx="2">
                  <c:v>KwaZulu-Natal</c:v>
                </c:pt>
                <c:pt idx="3">
                  <c:v>Western Cape</c:v>
                </c:pt>
              </c:strCache>
            </c:strRef>
          </c:cat>
          <c:val>
            <c:numRef>
              <c:f>'Pivot Analysis'!$H$15:$H$19</c:f>
              <c:numCache>
                <c:formatCode>General</c:formatCode>
                <c:ptCount val="4"/>
                <c:pt idx="0">
                  <c:v>47.8</c:v>
                </c:pt>
                <c:pt idx="1">
                  <c:v>54.3</c:v>
                </c:pt>
                <c:pt idx="2">
                  <c:v>52.8</c:v>
                </c:pt>
                <c:pt idx="3">
                  <c:v>59.4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36-4170-9EFC-FED2F8C19FA9}"/>
            </c:ext>
          </c:extLst>
        </c:ser>
        <c:ser>
          <c:idx val="1"/>
          <c:order val="1"/>
          <c:tx>
            <c:strRef>
              <c:f>'Pivot Analysis'!$I$14</c:f>
              <c:strCache>
                <c:ptCount val="1"/>
                <c:pt idx="0">
                  <c:v>Average of On Treatment (%)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Analysis'!$G$15:$G$19</c:f>
              <c:strCache>
                <c:ptCount val="4"/>
                <c:pt idx="0">
                  <c:v>Eastern Cape</c:v>
                </c:pt>
                <c:pt idx="1">
                  <c:v>Gauteng</c:v>
                </c:pt>
                <c:pt idx="2">
                  <c:v>KwaZulu-Natal</c:v>
                </c:pt>
                <c:pt idx="3">
                  <c:v>Western Cape</c:v>
                </c:pt>
              </c:strCache>
            </c:strRef>
          </c:cat>
          <c:val>
            <c:numRef>
              <c:f>'Pivot Analysis'!$I$15:$I$19</c:f>
              <c:numCache>
                <c:formatCode>General</c:formatCode>
                <c:ptCount val="4"/>
                <c:pt idx="0">
                  <c:v>40.799999999999997</c:v>
                </c:pt>
                <c:pt idx="1">
                  <c:v>46.8</c:v>
                </c:pt>
                <c:pt idx="2">
                  <c:v>44.9</c:v>
                </c:pt>
                <c:pt idx="3">
                  <c:v>50.2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536-4170-9EFC-FED2F8C19FA9}"/>
            </c:ext>
          </c:extLst>
        </c:ser>
        <c:ser>
          <c:idx val="2"/>
          <c:order val="2"/>
          <c:tx>
            <c:strRef>
              <c:f>'Pivot Analysis'!$J$14</c:f>
              <c:strCache>
                <c:ptCount val="1"/>
                <c:pt idx="0">
                  <c:v>Average of Controlled (%)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Analysis'!$G$15:$G$19</c:f>
              <c:strCache>
                <c:ptCount val="4"/>
                <c:pt idx="0">
                  <c:v>Eastern Cape</c:v>
                </c:pt>
                <c:pt idx="1">
                  <c:v>Gauteng</c:v>
                </c:pt>
                <c:pt idx="2">
                  <c:v>KwaZulu-Natal</c:v>
                </c:pt>
                <c:pt idx="3">
                  <c:v>Western Cape</c:v>
                </c:pt>
              </c:strCache>
            </c:strRef>
          </c:cat>
          <c:val>
            <c:numRef>
              <c:f>'Pivot Analysis'!$J$15:$J$19</c:f>
              <c:numCache>
                <c:formatCode>General</c:formatCode>
                <c:ptCount val="4"/>
                <c:pt idx="0">
                  <c:v>44.9</c:v>
                </c:pt>
                <c:pt idx="1">
                  <c:v>48.6</c:v>
                </c:pt>
                <c:pt idx="2">
                  <c:v>47.1</c:v>
                </c:pt>
                <c:pt idx="3">
                  <c:v>55.8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536-4170-9EFC-FED2F8C19F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36411375"/>
        <c:axId val="936395055"/>
      </c:barChart>
      <c:catAx>
        <c:axId val="936411375"/>
        <c:scaling>
          <c:orientation val="minMax"/>
        </c:scaling>
        <c:delete val="0"/>
        <c:axPos val="l"/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6395055"/>
        <c:crosses val="autoZero"/>
        <c:auto val="1"/>
        <c:lblAlgn val="ctr"/>
        <c:lblOffset val="100"/>
        <c:noMultiLvlLbl val="0"/>
      </c:catAx>
      <c:valAx>
        <c:axId val="9363950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64113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1 NCD Analysis.xlsx]Pivot Analysis!PivotTable1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408969534528642"/>
          <c:y val="9.7820324725970811E-2"/>
          <c:w val="0.64845951137841695"/>
          <c:h val="0.7485666023796359"/>
        </c:manualLayout>
      </c:layout>
      <c:lineChart>
        <c:grouping val="standard"/>
        <c:varyColors val="0"/>
        <c:ser>
          <c:idx val="0"/>
          <c:order val="0"/>
          <c:tx>
            <c:strRef>
              <c:f>'Pivot Analysis'!$C$2:$C$3</c:f>
              <c:strCache>
                <c:ptCount val="1"/>
                <c:pt idx="0">
                  <c:v>Eastern Cape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'Pivot Analysis'!$B$4:$B$10</c:f>
              <c:strCache>
                <c:ptCount val="6"/>
                <c:pt idx="0">
                  <c:v>2012</c:v>
                </c:pt>
                <c:pt idx="1">
                  <c:v>2016</c:v>
                </c:pt>
                <c:pt idx="2">
                  <c:v>2018</c:v>
                </c:pt>
                <c:pt idx="3">
                  <c:v>2019</c:v>
                </c:pt>
                <c:pt idx="4">
                  <c:v>2021</c:v>
                </c:pt>
                <c:pt idx="5">
                  <c:v>2022</c:v>
                </c:pt>
              </c:strCache>
            </c:strRef>
          </c:cat>
          <c:val>
            <c:numRef>
              <c:f>'Pivot Analysis'!$C$4:$C$10</c:f>
              <c:numCache>
                <c:formatCode>0.0%</c:formatCode>
                <c:ptCount val="6"/>
                <c:pt idx="0">
                  <c:v>5.9000000000000004E-2</c:v>
                </c:pt>
                <c:pt idx="1">
                  <c:v>7.2000000000000008E-2</c:v>
                </c:pt>
                <c:pt idx="2">
                  <c:v>7.8E-2</c:v>
                </c:pt>
                <c:pt idx="3">
                  <c:v>8.199999999999999E-2</c:v>
                </c:pt>
                <c:pt idx="4">
                  <c:v>8.5999999999999993E-2</c:v>
                </c:pt>
                <c:pt idx="5">
                  <c:v>0.09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D6E-422C-B9A9-3C362106D761}"/>
            </c:ext>
          </c:extLst>
        </c:ser>
        <c:ser>
          <c:idx val="1"/>
          <c:order val="1"/>
          <c:tx>
            <c:strRef>
              <c:f>'Pivot Analysis'!$D$2:$D$3</c:f>
              <c:strCache>
                <c:ptCount val="1"/>
                <c:pt idx="0">
                  <c:v>Gauteng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'Pivot Analysis'!$B$4:$B$10</c:f>
              <c:strCache>
                <c:ptCount val="6"/>
                <c:pt idx="0">
                  <c:v>2012</c:v>
                </c:pt>
                <c:pt idx="1">
                  <c:v>2016</c:v>
                </c:pt>
                <c:pt idx="2">
                  <c:v>2018</c:v>
                </c:pt>
                <c:pt idx="3">
                  <c:v>2019</c:v>
                </c:pt>
                <c:pt idx="4">
                  <c:v>2021</c:v>
                </c:pt>
                <c:pt idx="5">
                  <c:v>2022</c:v>
                </c:pt>
              </c:strCache>
            </c:strRef>
          </c:cat>
          <c:val>
            <c:numRef>
              <c:f>'Pivot Analysis'!$D$4:$D$10</c:f>
              <c:numCache>
                <c:formatCode>0.0%</c:formatCode>
                <c:ptCount val="6"/>
                <c:pt idx="0">
                  <c:v>7.9000000000000001E-2</c:v>
                </c:pt>
                <c:pt idx="1">
                  <c:v>9.1999999999999998E-2</c:v>
                </c:pt>
                <c:pt idx="2">
                  <c:v>9.8000000000000004E-2</c:v>
                </c:pt>
                <c:pt idx="3">
                  <c:v>0.10099999999999999</c:v>
                </c:pt>
                <c:pt idx="4">
                  <c:v>0.106</c:v>
                </c:pt>
                <c:pt idx="5">
                  <c:v>0.111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D6E-422C-B9A9-3C362106D761}"/>
            </c:ext>
          </c:extLst>
        </c:ser>
        <c:ser>
          <c:idx val="2"/>
          <c:order val="2"/>
          <c:tx>
            <c:strRef>
              <c:f>'Pivot Analysis'!$E$2:$E$3</c:f>
              <c:strCache>
                <c:ptCount val="1"/>
                <c:pt idx="0">
                  <c:v>KwaZulu-Natal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'Pivot Analysis'!$B$4:$B$10</c:f>
              <c:strCache>
                <c:ptCount val="6"/>
                <c:pt idx="0">
                  <c:v>2012</c:v>
                </c:pt>
                <c:pt idx="1">
                  <c:v>2016</c:v>
                </c:pt>
                <c:pt idx="2">
                  <c:v>2018</c:v>
                </c:pt>
                <c:pt idx="3">
                  <c:v>2019</c:v>
                </c:pt>
                <c:pt idx="4">
                  <c:v>2021</c:v>
                </c:pt>
                <c:pt idx="5">
                  <c:v>2022</c:v>
                </c:pt>
              </c:strCache>
            </c:strRef>
          </c:cat>
          <c:val>
            <c:numRef>
              <c:f>'Pivot Analysis'!$E$4:$E$10</c:f>
              <c:numCache>
                <c:formatCode>0.0%</c:formatCode>
                <c:ptCount val="6"/>
                <c:pt idx="0">
                  <c:v>6.8000000000000005E-2</c:v>
                </c:pt>
                <c:pt idx="1">
                  <c:v>8.1000000000000003E-2</c:v>
                </c:pt>
                <c:pt idx="2">
                  <c:v>8.5999999999999993E-2</c:v>
                </c:pt>
                <c:pt idx="3">
                  <c:v>0.09</c:v>
                </c:pt>
                <c:pt idx="4">
                  <c:v>9.4E-2</c:v>
                </c:pt>
                <c:pt idx="5">
                  <c:v>9.8000000000000004E-2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D6E-422C-B9A9-3C362106D761}"/>
            </c:ext>
          </c:extLst>
        </c:ser>
        <c:ser>
          <c:idx val="3"/>
          <c:order val="3"/>
          <c:tx>
            <c:strRef>
              <c:f>'Pivot Analysis'!$F$2:$F$3</c:f>
              <c:strCache>
                <c:ptCount val="1"/>
                <c:pt idx="0">
                  <c:v>Western Cape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'Pivot Analysis'!$B$4:$B$10</c:f>
              <c:strCache>
                <c:ptCount val="6"/>
                <c:pt idx="0">
                  <c:v>2012</c:v>
                </c:pt>
                <c:pt idx="1">
                  <c:v>2016</c:v>
                </c:pt>
                <c:pt idx="2">
                  <c:v>2018</c:v>
                </c:pt>
                <c:pt idx="3">
                  <c:v>2019</c:v>
                </c:pt>
                <c:pt idx="4">
                  <c:v>2021</c:v>
                </c:pt>
                <c:pt idx="5">
                  <c:v>2022</c:v>
                </c:pt>
              </c:strCache>
            </c:strRef>
          </c:cat>
          <c:val>
            <c:numRef>
              <c:f>'Pivot Analysis'!$F$4:$F$10</c:f>
              <c:numCache>
                <c:formatCode>0.0%</c:formatCode>
                <c:ptCount val="6"/>
                <c:pt idx="0">
                  <c:v>8.4000000000000005E-2</c:v>
                </c:pt>
                <c:pt idx="1">
                  <c:v>9.6000000000000002E-2</c:v>
                </c:pt>
                <c:pt idx="2">
                  <c:v>0.10199999999999999</c:v>
                </c:pt>
                <c:pt idx="3">
                  <c:v>0.106</c:v>
                </c:pt>
                <c:pt idx="4">
                  <c:v>0.11</c:v>
                </c:pt>
                <c:pt idx="5">
                  <c:v>0.114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D6E-422C-B9A9-3C362106D7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1900688"/>
        <c:axId val="481911248"/>
      </c:lineChart>
      <c:catAx>
        <c:axId val="481900688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1911248"/>
        <c:crosses val="autoZero"/>
        <c:auto val="1"/>
        <c:lblAlgn val="ctr"/>
        <c:lblOffset val="100"/>
        <c:noMultiLvlLbl val="0"/>
      </c:catAx>
      <c:valAx>
        <c:axId val="481911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1900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8888558443044332"/>
          <c:y val="0.41193943779936754"/>
          <c:w val="0.19581812055342138"/>
          <c:h val="0.2870833971012901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1 NCD Analysis.xlsx]Pivot Analysis!PivotTable19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3283522300829148"/>
          <c:y val="0.13258262577452429"/>
          <c:w val="0.66917196264172563"/>
          <c:h val="0.70897843012857931"/>
        </c:manualLayout>
      </c:layout>
      <c:lineChart>
        <c:grouping val="standard"/>
        <c:varyColors val="0"/>
        <c:ser>
          <c:idx val="0"/>
          <c:order val="0"/>
          <c:tx>
            <c:strRef>
              <c:f>'Pivot Analysis'!$C$21:$C$22</c:f>
              <c:strCache>
                <c:ptCount val="1"/>
                <c:pt idx="0">
                  <c:v>Eastern Cape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'Pivot Analysis'!$B$23:$B$29</c:f>
              <c:strCache>
                <c:ptCount val="6"/>
                <c:pt idx="0">
                  <c:v>2012</c:v>
                </c:pt>
                <c:pt idx="1">
                  <c:v>2016</c:v>
                </c:pt>
                <c:pt idx="2">
                  <c:v>2018</c:v>
                </c:pt>
                <c:pt idx="3">
                  <c:v>2019</c:v>
                </c:pt>
                <c:pt idx="4">
                  <c:v>2021</c:v>
                </c:pt>
                <c:pt idx="5">
                  <c:v>2022</c:v>
                </c:pt>
              </c:strCache>
            </c:strRef>
          </c:cat>
          <c:val>
            <c:numRef>
              <c:f>'Pivot Analysis'!$C$23:$C$29</c:f>
              <c:numCache>
                <c:formatCode>0.0%</c:formatCode>
                <c:ptCount val="6"/>
                <c:pt idx="0">
                  <c:v>0.248</c:v>
                </c:pt>
                <c:pt idx="1">
                  <c:v>0.26400000000000001</c:v>
                </c:pt>
                <c:pt idx="2">
                  <c:v>0.27800000000000002</c:v>
                </c:pt>
                <c:pt idx="3">
                  <c:v>0.29100000000000004</c:v>
                </c:pt>
                <c:pt idx="4">
                  <c:v>0.30399999999999999</c:v>
                </c:pt>
                <c:pt idx="5">
                  <c:v>0.312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09-4066-922F-4D9EB24059A4}"/>
            </c:ext>
          </c:extLst>
        </c:ser>
        <c:ser>
          <c:idx val="1"/>
          <c:order val="1"/>
          <c:tx>
            <c:strRef>
              <c:f>'Pivot Analysis'!$D$21:$D$22</c:f>
              <c:strCache>
                <c:ptCount val="1"/>
                <c:pt idx="0">
                  <c:v>Gauteng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'Pivot Analysis'!$B$23:$B$29</c:f>
              <c:strCache>
                <c:ptCount val="6"/>
                <c:pt idx="0">
                  <c:v>2012</c:v>
                </c:pt>
                <c:pt idx="1">
                  <c:v>2016</c:v>
                </c:pt>
                <c:pt idx="2">
                  <c:v>2018</c:v>
                </c:pt>
                <c:pt idx="3">
                  <c:v>2019</c:v>
                </c:pt>
                <c:pt idx="4">
                  <c:v>2021</c:v>
                </c:pt>
                <c:pt idx="5">
                  <c:v>2022</c:v>
                </c:pt>
              </c:strCache>
            </c:strRef>
          </c:cat>
          <c:val>
            <c:numRef>
              <c:f>'Pivot Analysis'!$D$23:$D$29</c:f>
              <c:numCache>
                <c:formatCode>0.0%</c:formatCode>
                <c:ptCount val="6"/>
                <c:pt idx="0">
                  <c:v>0.28399999999999997</c:v>
                </c:pt>
                <c:pt idx="1">
                  <c:v>0.30099999999999999</c:v>
                </c:pt>
                <c:pt idx="2">
                  <c:v>0.312</c:v>
                </c:pt>
                <c:pt idx="3">
                  <c:v>0.32400000000000001</c:v>
                </c:pt>
                <c:pt idx="4">
                  <c:v>0.33799999999999997</c:v>
                </c:pt>
                <c:pt idx="5">
                  <c:v>0.34499999999999997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709-4066-922F-4D9EB24059A4}"/>
            </c:ext>
          </c:extLst>
        </c:ser>
        <c:ser>
          <c:idx val="2"/>
          <c:order val="2"/>
          <c:tx>
            <c:strRef>
              <c:f>'Pivot Analysis'!$E$21:$E$22</c:f>
              <c:strCache>
                <c:ptCount val="1"/>
                <c:pt idx="0">
                  <c:v>KwaZulu-Natal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'Pivot Analysis'!$B$23:$B$29</c:f>
              <c:strCache>
                <c:ptCount val="6"/>
                <c:pt idx="0">
                  <c:v>2012</c:v>
                </c:pt>
                <c:pt idx="1">
                  <c:v>2016</c:v>
                </c:pt>
                <c:pt idx="2">
                  <c:v>2018</c:v>
                </c:pt>
                <c:pt idx="3">
                  <c:v>2019</c:v>
                </c:pt>
                <c:pt idx="4">
                  <c:v>2021</c:v>
                </c:pt>
                <c:pt idx="5">
                  <c:v>2022</c:v>
                </c:pt>
              </c:strCache>
            </c:strRef>
          </c:cat>
          <c:val>
            <c:numRef>
              <c:f>'Pivot Analysis'!$E$23:$E$29</c:f>
              <c:numCache>
                <c:formatCode>0.0%</c:formatCode>
                <c:ptCount val="6"/>
                <c:pt idx="0">
                  <c:v>0.26100000000000001</c:v>
                </c:pt>
                <c:pt idx="1">
                  <c:v>0.27800000000000002</c:v>
                </c:pt>
                <c:pt idx="2">
                  <c:v>0.29199999999999998</c:v>
                </c:pt>
                <c:pt idx="3">
                  <c:v>0.30499999999999999</c:v>
                </c:pt>
                <c:pt idx="4">
                  <c:v>0.318</c:v>
                </c:pt>
                <c:pt idx="5">
                  <c:v>0.32600000000000001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709-4066-922F-4D9EB24059A4}"/>
            </c:ext>
          </c:extLst>
        </c:ser>
        <c:ser>
          <c:idx val="3"/>
          <c:order val="3"/>
          <c:tx>
            <c:strRef>
              <c:f>'Pivot Analysis'!$F$21:$F$22</c:f>
              <c:strCache>
                <c:ptCount val="1"/>
                <c:pt idx="0">
                  <c:v>Western Cape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'Pivot Analysis'!$B$23:$B$29</c:f>
              <c:strCache>
                <c:ptCount val="6"/>
                <c:pt idx="0">
                  <c:v>2012</c:v>
                </c:pt>
                <c:pt idx="1">
                  <c:v>2016</c:v>
                </c:pt>
                <c:pt idx="2">
                  <c:v>2018</c:v>
                </c:pt>
                <c:pt idx="3">
                  <c:v>2019</c:v>
                </c:pt>
                <c:pt idx="4">
                  <c:v>2021</c:v>
                </c:pt>
                <c:pt idx="5">
                  <c:v>2022</c:v>
                </c:pt>
              </c:strCache>
            </c:strRef>
          </c:cat>
          <c:val>
            <c:numRef>
              <c:f>'Pivot Analysis'!$F$23:$F$29</c:f>
              <c:numCache>
                <c:formatCode>0.0%</c:formatCode>
                <c:ptCount val="6"/>
                <c:pt idx="0">
                  <c:v>0.27200000000000002</c:v>
                </c:pt>
                <c:pt idx="1">
                  <c:v>0.28899999999999998</c:v>
                </c:pt>
                <c:pt idx="2">
                  <c:v>0.30099999999999999</c:v>
                </c:pt>
                <c:pt idx="3">
                  <c:v>0.314</c:v>
                </c:pt>
                <c:pt idx="4">
                  <c:v>0.32799999999999996</c:v>
                </c:pt>
                <c:pt idx="5">
                  <c:v>0.33600000000000002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709-4066-922F-4D9EB24059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36453615"/>
        <c:axId val="936467535"/>
      </c:lineChart>
      <c:catAx>
        <c:axId val="936453615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6467535"/>
        <c:crosses val="autoZero"/>
        <c:auto val="1"/>
        <c:lblAlgn val="ctr"/>
        <c:lblOffset val="100"/>
        <c:noMultiLvlLbl val="0"/>
      </c:catAx>
      <c:valAx>
        <c:axId val="936467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64536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1 NCD Analysis.xlsx]Pivot Analysis!PivotTable19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3283522300829148"/>
          <c:y val="0.13258262577452429"/>
          <c:w val="0.69823639211311117"/>
          <c:h val="0.70897843012857931"/>
        </c:manualLayout>
      </c:layout>
      <c:lineChart>
        <c:grouping val="standard"/>
        <c:varyColors val="0"/>
        <c:ser>
          <c:idx val="0"/>
          <c:order val="0"/>
          <c:tx>
            <c:strRef>
              <c:f>'Pivot Analysis'!$C$21:$C$22</c:f>
              <c:strCache>
                <c:ptCount val="1"/>
                <c:pt idx="0">
                  <c:v>Eastern Cape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'Pivot Analysis'!$B$23:$B$29</c:f>
              <c:strCache>
                <c:ptCount val="6"/>
                <c:pt idx="0">
                  <c:v>2012</c:v>
                </c:pt>
                <c:pt idx="1">
                  <c:v>2016</c:v>
                </c:pt>
                <c:pt idx="2">
                  <c:v>2018</c:v>
                </c:pt>
                <c:pt idx="3">
                  <c:v>2019</c:v>
                </c:pt>
                <c:pt idx="4">
                  <c:v>2021</c:v>
                </c:pt>
                <c:pt idx="5">
                  <c:v>2022</c:v>
                </c:pt>
              </c:strCache>
            </c:strRef>
          </c:cat>
          <c:val>
            <c:numRef>
              <c:f>'Pivot Analysis'!$C$23:$C$29</c:f>
              <c:numCache>
                <c:formatCode>0.0%</c:formatCode>
                <c:ptCount val="6"/>
                <c:pt idx="0">
                  <c:v>0.248</c:v>
                </c:pt>
                <c:pt idx="1">
                  <c:v>0.26400000000000001</c:v>
                </c:pt>
                <c:pt idx="2">
                  <c:v>0.27800000000000002</c:v>
                </c:pt>
                <c:pt idx="3">
                  <c:v>0.29100000000000004</c:v>
                </c:pt>
                <c:pt idx="4">
                  <c:v>0.30399999999999999</c:v>
                </c:pt>
                <c:pt idx="5">
                  <c:v>0.312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E14-4BD5-95EC-89058A33DA82}"/>
            </c:ext>
          </c:extLst>
        </c:ser>
        <c:ser>
          <c:idx val="1"/>
          <c:order val="1"/>
          <c:tx>
            <c:strRef>
              <c:f>'Pivot Analysis'!$D$21:$D$22</c:f>
              <c:strCache>
                <c:ptCount val="1"/>
                <c:pt idx="0">
                  <c:v>Gauteng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'Pivot Analysis'!$B$23:$B$29</c:f>
              <c:strCache>
                <c:ptCount val="6"/>
                <c:pt idx="0">
                  <c:v>2012</c:v>
                </c:pt>
                <c:pt idx="1">
                  <c:v>2016</c:v>
                </c:pt>
                <c:pt idx="2">
                  <c:v>2018</c:v>
                </c:pt>
                <c:pt idx="3">
                  <c:v>2019</c:v>
                </c:pt>
                <c:pt idx="4">
                  <c:v>2021</c:v>
                </c:pt>
                <c:pt idx="5">
                  <c:v>2022</c:v>
                </c:pt>
              </c:strCache>
            </c:strRef>
          </c:cat>
          <c:val>
            <c:numRef>
              <c:f>'Pivot Analysis'!$D$23:$D$29</c:f>
              <c:numCache>
                <c:formatCode>0.0%</c:formatCode>
                <c:ptCount val="6"/>
                <c:pt idx="0">
                  <c:v>0.28399999999999997</c:v>
                </c:pt>
                <c:pt idx="1">
                  <c:v>0.30099999999999999</c:v>
                </c:pt>
                <c:pt idx="2">
                  <c:v>0.312</c:v>
                </c:pt>
                <c:pt idx="3">
                  <c:v>0.32400000000000001</c:v>
                </c:pt>
                <c:pt idx="4">
                  <c:v>0.33799999999999997</c:v>
                </c:pt>
                <c:pt idx="5">
                  <c:v>0.34499999999999997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E14-4BD5-95EC-89058A33DA82}"/>
            </c:ext>
          </c:extLst>
        </c:ser>
        <c:ser>
          <c:idx val="2"/>
          <c:order val="2"/>
          <c:tx>
            <c:strRef>
              <c:f>'Pivot Analysis'!$E$21:$E$22</c:f>
              <c:strCache>
                <c:ptCount val="1"/>
                <c:pt idx="0">
                  <c:v>KwaZulu-Natal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'Pivot Analysis'!$B$23:$B$29</c:f>
              <c:strCache>
                <c:ptCount val="6"/>
                <c:pt idx="0">
                  <c:v>2012</c:v>
                </c:pt>
                <c:pt idx="1">
                  <c:v>2016</c:v>
                </c:pt>
                <c:pt idx="2">
                  <c:v>2018</c:v>
                </c:pt>
                <c:pt idx="3">
                  <c:v>2019</c:v>
                </c:pt>
                <c:pt idx="4">
                  <c:v>2021</c:v>
                </c:pt>
                <c:pt idx="5">
                  <c:v>2022</c:v>
                </c:pt>
              </c:strCache>
            </c:strRef>
          </c:cat>
          <c:val>
            <c:numRef>
              <c:f>'Pivot Analysis'!$E$23:$E$29</c:f>
              <c:numCache>
                <c:formatCode>0.0%</c:formatCode>
                <c:ptCount val="6"/>
                <c:pt idx="0">
                  <c:v>0.26100000000000001</c:v>
                </c:pt>
                <c:pt idx="1">
                  <c:v>0.27800000000000002</c:v>
                </c:pt>
                <c:pt idx="2">
                  <c:v>0.29199999999999998</c:v>
                </c:pt>
                <c:pt idx="3">
                  <c:v>0.30499999999999999</c:v>
                </c:pt>
                <c:pt idx="4">
                  <c:v>0.318</c:v>
                </c:pt>
                <c:pt idx="5">
                  <c:v>0.32600000000000001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E14-4BD5-95EC-89058A33DA82}"/>
            </c:ext>
          </c:extLst>
        </c:ser>
        <c:ser>
          <c:idx val="3"/>
          <c:order val="3"/>
          <c:tx>
            <c:strRef>
              <c:f>'Pivot Analysis'!$F$21:$F$22</c:f>
              <c:strCache>
                <c:ptCount val="1"/>
                <c:pt idx="0">
                  <c:v>Western Cape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'Pivot Analysis'!$B$23:$B$29</c:f>
              <c:strCache>
                <c:ptCount val="6"/>
                <c:pt idx="0">
                  <c:v>2012</c:v>
                </c:pt>
                <c:pt idx="1">
                  <c:v>2016</c:v>
                </c:pt>
                <c:pt idx="2">
                  <c:v>2018</c:v>
                </c:pt>
                <c:pt idx="3">
                  <c:v>2019</c:v>
                </c:pt>
                <c:pt idx="4">
                  <c:v>2021</c:v>
                </c:pt>
                <c:pt idx="5">
                  <c:v>2022</c:v>
                </c:pt>
              </c:strCache>
            </c:strRef>
          </c:cat>
          <c:val>
            <c:numRef>
              <c:f>'Pivot Analysis'!$F$23:$F$29</c:f>
              <c:numCache>
                <c:formatCode>0.0%</c:formatCode>
                <c:ptCount val="6"/>
                <c:pt idx="0">
                  <c:v>0.27200000000000002</c:v>
                </c:pt>
                <c:pt idx="1">
                  <c:v>0.28899999999999998</c:v>
                </c:pt>
                <c:pt idx="2">
                  <c:v>0.30099999999999999</c:v>
                </c:pt>
                <c:pt idx="3">
                  <c:v>0.314</c:v>
                </c:pt>
                <c:pt idx="4">
                  <c:v>0.32799999999999996</c:v>
                </c:pt>
                <c:pt idx="5">
                  <c:v>0.33600000000000002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E14-4BD5-95EC-89058A33DA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36453615"/>
        <c:axId val="936467535"/>
      </c:lineChart>
      <c:catAx>
        <c:axId val="936453615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6467535"/>
        <c:crosses val="autoZero"/>
        <c:auto val="1"/>
        <c:lblAlgn val="ctr"/>
        <c:lblOffset val="100"/>
        <c:noMultiLvlLbl val="0"/>
      </c:catAx>
      <c:valAx>
        <c:axId val="936467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64536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1 NCD Analysis.xlsx]Pivot Analysis!PivotTable17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Analysis'!$H$14</c:f>
              <c:strCache>
                <c:ptCount val="1"/>
                <c:pt idx="0">
                  <c:v>Average of Hypertension Awareness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Analysis'!$G$15:$G$19</c:f>
              <c:strCache>
                <c:ptCount val="4"/>
                <c:pt idx="0">
                  <c:v>Eastern Cape</c:v>
                </c:pt>
                <c:pt idx="1">
                  <c:v>Gauteng</c:v>
                </c:pt>
                <c:pt idx="2">
                  <c:v>KwaZulu-Natal</c:v>
                </c:pt>
                <c:pt idx="3">
                  <c:v>Western Cape</c:v>
                </c:pt>
              </c:strCache>
            </c:strRef>
          </c:cat>
          <c:val>
            <c:numRef>
              <c:f>'Pivot Analysis'!$H$15:$H$19</c:f>
              <c:numCache>
                <c:formatCode>General</c:formatCode>
                <c:ptCount val="4"/>
                <c:pt idx="0">
                  <c:v>47.8</c:v>
                </c:pt>
                <c:pt idx="1">
                  <c:v>54.3</c:v>
                </c:pt>
                <c:pt idx="2">
                  <c:v>52.8</c:v>
                </c:pt>
                <c:pt idx="3">
                  <c:v>59.4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EE-41A4-B804-404F62D222B5}"/>
            </c:ext>
          </c:extLst>
        </c:ser>
        <c:ser>
          <c:idx val="1"/>
          <c:order val="1"/>
          <c:tx>
            <c:strRef>
              <c:f>'Pivot Analysis'!$I$14</c:f>
              <c:strCache>
                <c:ptCount val="1"/>
                <c:pt idx="0">
                  <c:v>Average of On Treatment (%)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Analysis'!$G$15:$G$19</c:f>
              <c:strCache>
                <c:ptCount val="4"/>
                <c:pt idx="0">
                  <c:v>Eastern Cape</c:v>
                </c:pt>
                <c:pt idx="1">
                  <c:v>Gauteng</c:v>
                </c:pt>
                <c:pt idx="2">
                  <c:v>KwaZulu-Natal</c:v>
                </c:pt>
                <c:pt idx="3">
                  <c:v>Western Cape</c:v>
                </c:pt>
              </c:strCache>
            </c:strRef>
          </c:cat>
          <c:val>
            <c:numRef>
              <c:f>'Pivot Analysis'!$I$15:$I$19</c:f>
              <c:numCache>
                <c:formatCode>General</c:formatCode>
                <c:ptCount val="4"/>
                <c:pt idx="0">
                  <c:v>40.799999999999997</c:v>
                </c:pt>
                <c:pt idx="1">
                  <c:v>46.8</c:v>
                </c:pt>
                <c:pt idx="2">
                  <c:v>44.9</c:v>
                </c:pt>
                <c:pt idx="3">
                  <c:v>50.2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CEE-41A4-B804-404F62D222B5}"/>
            </c:ext>
          </c:extLst>
        </c:ser>
        <c:ser>
          <c:idx val="2"/>
          <c:order val="2"/>
          <c:tx>
            <c:strRef>
              <c:f>'Pivot Analysis'!$J$14</c:f>
              <c:strCache>
                <c:ptCount val="1"/>
                <c:pt idx="0">
                  <c:v>Average of Controlled (%)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Analysis'!$G$15:$G$19</c:f>
              <c:strCache>
                <c:ptCount val="4"/>
                <c:pt idx="0">
                  <c:v>Eastern Cape</c:v>
                </c:pt>
                <c:pt idx="1">
                  <c:v>Gauteng</c:v>
                </c:pt>
                <c:pt idx="2">
                  <c:v>KwaZulu-Natal</c:v>
                </c:pt>
                <c:pt idx="3">
                  <c:v>Western Cape</c:v>
                </c:pt>
              </c:strCache>
            </c:strRef>
          </c:cat>
          <c:val>
            <c:numRef>
              <c:f>'Pivot Analysis'!$J$15:$J$19</c:f>
              <c:numCache>
                <c:formatCode>General</c:formatCode>
                <c:ptCount val="4"/>
                <c:pt idx="0">
                  <c:v>44.9</c:v>
                </c:pt>
                <c:pt idx="1">
                  <c:v>48.6</c:v>
                </c:pt>
                <c:pt idx="2">
                  <c:v>47.1</c:v>
                </c:pt>
                <c:pt idx="3">
                  <c:v>55.8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CEE-41A4-B804-404F62D222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36411375"/>
        <c:axId val="936395055"/>
      </c:barChart>
      <c:catAx>
        <c:axId val="936411375"/>
        <c:scaling>
          <c:orientation val="minMax"/>
        </c:scaling>
        <c:delete val="0"/>
        <c:axPos val="l"/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6395055"/>
        <c:crosses val="autoZero"/>
        <c:auto val="1"/>
        <c:lblAlgn val="ctr"/>
        <c:lblOffset val="100"/>
        <c:noMultiLvlLbl val="0"/>
      </c:catAx>
      <c:valAx>
        <c:axId val="9363950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64113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180975</xdr:rowOff>
    </xdr:from>
    <xdr:to>
      <xdr:col>11</xdr:col>
      <xdr:colOff>276225</xdr:colOff>
      <xdr:row>15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16C1EF2-B8D8-4D10-BC4E-E6081E8F5A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38100</xdr:colOff>
      <xdr:row>1</xdr:row>
      <xdr:rowOff>0</xdr:rowOff>
    </xdr:from>
    <xdr:to>
      <xdr:col>20</xdr:col>
      <xdr:colOff>571499</xdr:colOff>
      <xdr:row>16</xdr:row>
      <xdr:rowOff>128587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FFFB4C9-C4B4-4341-A720-88F1921231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19050</xdr:colOff>
      <xdr:row>17</xdr:row>
      <xdr:rowOff>38099</xdr:rowOff>
    </xdr:from>
    <xdr:to>
      <xdr:col>13</xdr:col>
      <xdr:colOff>161925</xdr:colOff>
      <xdr:row>35</xdr:row>
      <xdr:rowOff>161925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8C17E4A-44FD-4490-B2FE-5464FF6913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190501</xdr:colOff>
      <xdr:row>3</xdr:row>
      <xdr:rowOff>114300</xdr:rowOff>
    </xdr:from>
    <xdr:to>
      <xdr:col>4</xdr:col>
      <xdr:colOff>504825</xdr:colOff>
      <xdr:row>16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31272C-B402-45FC-BB37-278E09E865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200025</xdr:colOff>
      <xdr:row>3</xdr:row>
      <xdr:rowOff>114301</xdr:rowOff>
    </xdr:from>
    <xdr:to>
      <xdr:col>14</xdr:col>
      <xdr:colOff>114300</xdr:colOff>
      <xdr:row>16</xdr:row>
      <xdr:rowOff>76201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4C851CD-67D5-4968-8FB5-C16AE7AAFD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omfort Nkosi" refreshedDate="46105.8290375" createdVersion="8" refreshedVersion="8" minRefreshableVersion="3" recordCount="24" xr:uid="{F9F3DD6D-36D1-4EB3-AF5D-0DE93AC30F6B}">
  <cacheSource type="worksheet">
    <worksheetSource name="NCD_Data"/>
  </cacheSource>
  <cacheFields count="11">
    <cacheField name="Year" numFmtId="0">
      <sharedItems containsSemiMixedTypes="0" containsString="0" containsNumber="1" containsInteger="1" minValue="2012" maxValue="2022" count="6">
        <n v="2012"/>
        <n v="2016"/>
        <n v="2018"/>
        <n v="2019"/>
        <n v="2021"/>
        <n v="2022"/>
      </sharedItems>
    </cacheField>
    <cacheField name="Province" numFmtId="0">
      <sharedItems count="4">
        <s v="Gauteng"/>
        <s v="KwaZulu-Natal"/>
        <s v="Western Cape"/>
        <s v="Eastern Cape"/>
      </sharedItems>
    </cacheField>
    <cacheField name="Diabetes Prevalence" numFmtId="165">
      <sharedItems containsSemiMixedTypes="0" containsString="0" containsNumber="1" minValue="5.9000000000000004E-2" maxValue="0.114"/>
    </cacheField>
    <cacheField name="Hypertension Prevalence" numFmtId="165">
      <sharedItems containsSemiMixedTypes="0" containsString="0" containsNumber="1" minValue="0.248" maxValue="0.34499999999999997"/>
    </cacheField>
    <cacheField name="Hypertension Awareness (%)" numFmtId="0">
      <sharedItems containsSemiMixedTypes="0" containsString="0" containsNumber="1" minValue="38.4" maxValue="59.4"/>
    </cacheField>
    <cacheField name="On Treatment (%)" numFmtId="0">
      <sharedItems containsSemiMixedTypes="0" containsString="0" containsNumber="1" minValue="31.2" maxValue="50.2"/>
    </cacheField>
    <cacheField name="Controlled (%)" numFmtId="0">
      <sharedItems containsSemiMixedTypes="0" containsString="0" containsNumber="1" minValue="36.799999999999997" maxValue="55.8"/>
    </cacheField>
    <cacheField name="Population (in millions)" numFmtId="0">
      <sharedItems containsSemiMixedTypes="0" containsString="0" containsNumber="1" minValue="5.8" maxValue="15.8"/>
    </cacheField>
    <cacheField name="NSP 2030 Awareness Target (Met/Not Met)" numFmtId="0">
      <sharedItems/>
    </cacheField>
    <cacheField name="NSP 2030 Treatment Target (Met/Not Met)" numFmtId="0">
      <sharedItems/>
    </cacheField>
    <cacheField name="NSP 2030 Control Target (Met/Not Met)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x v="0"/>
    <x v="0"/>
    <n v="7.9000000000000001E-2"/>
    <n v="0.28399999999999997"/>
    <n v="48.2"/>
    <n v="38.1"/>
    <n v="42.3"/>
    <n v="13.2"/>
    <s v="Not Met"/>
    <s v="Not Met"/>
    <s v="Not Met"/>
  </r>
  <r>
    <x v="1"/>
    <x v="0"/>
    <n v="9.1999999999999998E-2"/>
    <n v="0.30099999999999999"/>
    <n v="50.3"/>
    <n v="40.200000000000003"/>
    <n v="44.1"/>
    <n v="14.1"/>
    <s v="Not Met"/>
    <s v="Not Met"/>
    <s v="Not Met"/>
  </r>
  <r>
    <x v="2"/>
    <x v="0"/>
    <n v="9.8000000000000004E-2"/>
    <n v="0.312"/>
    <n v="51.8"/>
    <n v="42.6"/>
    <n v="45.2"/>
    <n v="14.7"/>
    <s v="Not Met"/>
    <s v="Not Met"/>
    <s v="Not Met"/>
  </r>
  <r>
    <x v="3"/>
    <x v="0"/>
    <n v="0.10099999999999999"/>
    <n v="0.32400000000000001"/>
    <n v="52.4"/>
    <n v="43.8"/>
    <n v="46.3"/>
    <n v="14.9"/>
    <s v="Not Met"/>
    <s v="Not Met"/>
    <s v="Not Met"/>
  </r>
  <r>
    <x v="4"/>
    <x v="0"/>
    <n v="0.106"/>
    <n v="0.33799999999999997"/>
    <n v="53.9"/>
    <n v="45.1"/>
    <n v="47.8"/>
    <n v="15.1"/>
    <s v="Not Met"/>
    <s v="Not Met"/>
    <s v="Not Met"/>
  </r>
  <r>
    <x v="5"/>
    <x v="0"/>
    <n v="0.111"/>
    <n v="0.34499999999999997"/>
    <n v="54.3"/>
    <n v="46.8"/>
    <n v="48.6"/>
    <n v="15.8"/>
    <s v="Not Met"/>
    <s v="Not Met"/>
    <s v="Not Met"/>
  </r>
  <r>
    <x v="0"/>
    <x v="1"/>
    <n v="6.8000000000000005E-2"/>
    <n v="0.26100000000000001"/>
    <n v="44.2"/>
    <n v="35.4"/>
    <n v="40.1"/>
    <n v="10.8"/>
    <s v="Not Met"/>
    <s v="Not Met"/>
    <s v="Not Met"/>
  </r>
  <r>
    <x v="1"/>
    <x v="1"/>
    <n v="8.1000000000000003E-2"/>
    <n v="0.27800000000000002"/>
    <n v="46.8"/>
    <n v="37.9"/>
    <n v="42.4"/>
    <n v="11.1"/>
    <s v="Not Met"/>
    <s v="Not Met"/>
    <s v="Not Met"/>
  </r>
  <r>
    <x v="2"/>
    <x v="1"/>
    <n v="8.5999999999999993E-2"/>
    <n v="0.29199999999999998"/>
    <n v="48.1"/>
    <n v="39.4"/>
    <n v="43.6"/>
    <n v="11.4"/>
    <s v="Not Met"/>
    <s v="Not Met"/>
    <s v="Not Met"/>
  </r>
  <r>
    <x v="3"/>
    <x v="1"/>
    <n v="0.09"/>
    <n v="0.30499999999999999"/>
    <n v="49.3"/>
    <n v="41.2"/>
    <n v="44.8"/>
    <n v="11.5"/>
    <s v="Not Met"/>
    <s v="Not Met"/>
    <s v="Not Met"/>
  </r>
  <r>
    <x v="4"/>
    <x v="1"/>
    <n v="9.4E-2"/>
    <n v="0.318"/>
    <n v="51.2"/>
    <n v="43.6"/>
    <n v="46.2"/>
    <n v="11.8"/>
    <s v="Not Met"/>
    <s v="Not Met"/>
    <s v="Not Met"/>
  </r>
  <r>
    <x v="5"/>
    <x v="1"/>
    <n v="9.8000000000000004E-2"/>
    <n v="0.32600000000000001"/>
    <n v="52.8"/>
    <n v="44.9"/>
    <n v="47.1"/>
    <n v="12.1"/>
    <s v="Not Met"/>
    <s v="Not Met"/>
    <s v="Not Met"/>
  </r>
  <r>
    <x v="0"/>
    <x v="2"/>
    <n v="8.4000000000000005E-2"/>
    <n v="0.27200000000000002"/>
    <n v="52.1"/>
    <n v="42.3"/>
    <n v="48.2"/>
    <n v="5.8"/>
    <s v="Not Met"/>
    <s v="Not Met"/>
    <s v="Not Met"/>
  </r>
  <r>
    <x v="1"/>
    <x v="2"/>
    <n v="9.6000000000000002E-2"/>
    <n v="0.28899999999999998"/>
    <n v="54.6"/>
    <n v="44.8"/>
    <n v="50.1"/>
    <n v="6.2"/>
    <s v="Not Met"/>
    <s v="Not Met"/>
    <s v="Met"/>
  </r>
  <r>
    <x v="2"/>
    <x v="2"/>
    <n v="0.10199999999999999"/>
    <n v="0.30099999999999999"/>
    <n v="56.2"/>
    <n v="46.2"/>
    <n v="51.8"/>
    <n v="6.5"/>
    <s v="Not Met"/>
    <s v="Not Met"/>
    <s v="Met"/>
  </r>
  <r>
    <x v="3"/>
    <x v="2"/>
    <n v="0.106"/>
    <n v="0.314"/>
    <n v="57.8"/>
    <n v="47.6"/>
    <n v="52.9"/>
    <n v="6.7"/>
    <s v="Not Met"/>
    <s v="Not Met"/>
    <s v="Met"/>
  </r>
  <r>
    <x v="4"/>
    <x v="2"/>
    <n v="0.11"/>
    <n v="0.32799999999999996"/>
    <n v="58.9"/>
    <n v="49.1"/>
    <n v="54.2"/>
    <n v="6.9"/>
    <s v="Not Met"/>
    <s v="Not Met"/>
    <s v="Met"/>
  </r>
  <r>
    <x v="5"/>
    <x v="2"/>
    <n v="0.114"/>
    <n v="0.33600000000000002"/>
    <n v="59.4"/>
    <n v="50.2"/>
    <n v="55.8"/>
    <n v="7.1"/>
    <s v="Not Met"/>
    <s v="Not Met"/>
    <s v="Met"/>
  </r>
  <r>
    <x v="0"/>
    <x v="3"/>
    <n v="5.9000000000000004E-2"/>
    <n v="0.248"/>
    <n v="38.4"/>
    <n v="31.2"/>
    <n v="36.799999999999997"/>
    <n v="6.6"/>
    <s v="Not Met"/>
    <s v="Not Met"/>
    <s v="Not Met"/>
  </r>
  <r>
    <x v="1"/>
    <x v="3"/>
    <n v="7.2000000000000008E-2"/>
    <n v="0.26400000000000001"/>
    <n v="40.799999999999997"/>
    <n v="33.6"/>
    <n v="38.4"/>
    <n v="6.7"/>
    <s v="Not Met"/>
    <s v="Not Met"/>
    <s v="Not Met"/>
  </r>
  <r>
    <x v="2"/>
    <x v="3"/>
    <n v="7.8E-2"/>
    <n v="0.27800000000000002"/>
    <n v="42.6"/>
    <n v="35.4"/>
    <n v="40.200000000000003"/>
    <n v="6.8"/>
    <s v="Not Met"/>
    <s v="Not Met"/>
    <s v="Not Met"/>
  </r>
  <r>
    <x v="3"/>
    <x v="3"/>
    <n v="8.199999999999999E-2"/>
    <n v="0.29100000000000004"/>
    <n v="44.2"/>
    <n v="37.1"/>
    <n v="41.8"/>
    <n v="6.9"/>
    <s v="Not Met"/>
    <s v="Not Met"/>
    <s v="Not Met"/>
  </r>
  <r>
    <x v="4"/>
    <x v="3"/>
    <n v="8.5999999999999993E-2"/>
    <n v="0.30399999999999999"/>
    <n v="46.1"/>
    <n v="39.200000000000003"/>
    <n v="43.4"/>
    <n v="7"/>
    <s v="Not Met"/>
    <s v="Not Met"/>
    <s v="Not Met"/>
  </r>
  <r>
    <x v="5"/>
    <x v="3"/>
    <n v="0.09"/>
    <n v="0.312"/>
    <n v="47.8"/>
    <n v="40.799999999999997"/>
    <n v="44.9"/>
    <n v="7.1"/>
    <s v="Not Met"/>
    <s v="Not Met"/>
    <s v="Not Met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89B1A4-823D-44A2-8E1E-3DDEE7E8C042}" name="PivotTable19" cacheId="5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6">
  <location ref="B21:G29" firstHeaderRow="1" firstDataRow="2" firstDataCol="1"/>
  <pivotFields count="11">
    <pivotField axis="axisRow" compact="0" outline="0" showAll="0">
      <items count="7">
        <item x="0"/>
        <item x="1"/>
        <item x="2"/>
        <item x="3"/>
        <item x="4"/>
        <item x="5"/>
        <item t="default"/>
      </items>
    </pivotField>
    <pivotField axis="axisCol" compact="0" outline="0" showAll="0">
      <items count="5">
        <item x="3"/>
        <item x="0"/>
        <item x="1"/>
        <item x="2"/>
        <item t="default"/>
      </items>
    </pivotField>
    <pivotField compact="0" numFmtId="165" outline="0" showAll="0"/>
    <pivotField dataField="1" compact="0" numFmtId="165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ubtotalTop="0" showAll="0"/>
    <pivotField compact="0" outline="0" subtotalTop="0" showAll="0"/>
    <pivotField compact="0" outline="0" subtotalTop="0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Average of Hypertension Prevalence" fld="3" subtotal="average" baseField="0" baseItem="0" numFmtId="165"/>
  </dataFields>
  <chartFormats count="12"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2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3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3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5" format="1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5" format="1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5" format="1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5" format="1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TableStyleInfo name="PivotStyleLight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7F3261-75D2-4F53-97BF-9EC46A17E85D}" name="PivotTable17" cacheId="5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6">
  <location ref="G14:J19" firstHeaderRow="0" firstDataRow="1" firstDataCol="1" rowPageCount="1" colPageCount="1"/>
  <pivotFields count="11">
    <pivotField axis="axisPage" compact="0" outline="0" showAll="0">
      <items count="7">
        <item x="0"/>
        <item x="1"/>
        <item x="2"/>
        <item x="3"/>
        <item x="4"/>
        <item x="5"/>
        <item t="default"/>
      </items>
    </pivotField>
    <pivotField axis="axisRow" compact="0" outline="0" showAll="0">
      <items count="5">
        <item x="3"/>
        <item x="0"/>
        <item x="1"/>
        <item x="2"/>
        <item t="default"/>
      </items>
    </pivotField>
    <pivotField compact="0" numFmtId="165" outline="0" showAll="0"/>
    <pivotField compact="0" numFmtId="165" outline="0" showAll="0"/>
    <pivotField dataField="1" compact="0" outline="0" showAll="0"/>
    <pivotField dataField="1" compact="0" outline="0" showAll="0"/>
    <pivotField dataField="1" compact="0" outline="0" showAll="0"/>
    <pivotField compact="0" outline="0" showAll="0"/>
    <pivotField compact="0" outline="0" subtotalTop="0" showAll="0"/>
    <pivotField compact="0" outline="0" subtotalTop="0" showAll="0"/>
    <pivotField compact="0" outline="0" subtotalTop="0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0" item="5" hier="-1"/>
  </pageFields>
  <dataFields count="3">
    <dataField name="Average of Hypertension Awareness (%)" fld="4" subtotal="average" baseField="1" baseItem="0"/>
    <dataField name="Average of On Treatment (%)" fld="5" subtotal="average" baseField="1" baseItem="0"/>
    <dataField name="Average of Controlled (%)" fld="6" subtotal="average" baseField="1" baseItem="0"/>
  </dataFields>
  <chartFormats count="9"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1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5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14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95EAFD-47E9-42DF-A861-19EACE08D5D2}" name="PivotTable2" cacheId="51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multipleFieldFilters="0">
  <location ref="I2:P8" firstHeaderRow="1" firstDataRow="2" firstDataCol="1"/>
  <pivotFields count="11">
    <pivotField axis="axisCol" compact="0" outline="0" showAll="0">
      <items count="7">
        <item x="0"/>
        <item x="1"/>
        <item x="2"/>
        <item x="3"/>
        <item x="4"/>
        <item x="5"/>
        <item t="default"/>
      </items>
    </pivotField>
    <pivotField axis="axisRow" compact="0" outline="0" showAll="0">
      <items count="5">
        <item x="3"/>
        <item x="0"/>
        <item x="1"/>
        <item x="2"/>
        <item t="default"/>
      </items>
    </pivotField>
    <pivotField compact="0" numFmtId="165" outline="0" showAll="0"/>
    <pivotField compact="0" numFmtId="165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ubtotalTop="0" showAll="0"/>
    <pivotField compact="0" outline="0" subtotalTop="0" showAll="0"/>
    <pivotField compact="0" outline="0" subtotalTop="0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0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Average of Hypertension Awareness (%)" fld="4" subtotal="average" baseField="1" baseItem="0" numFmtId="164"/>
  </dataFields>
  <pivotTableStyleInfo name="PivotStyleLight1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440103-4F2D-499D-A3ED-89AF1E6B0E00}" name="PivotTable1" cacheId="51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multipleFieldFilters="0" chartFormat="4">
  <location ref="B2:G10" firstHeaderRow="1" firstDataRow="2" firstDataCol="1"/>
  <pivotFields count="11">
    <pivotField axis="axisRow" compact="0" outline="0" showAll="0">
      <items count="7">
        <item x="0"/>
        <item x="1"/>
        <item x="2"/>
        <item x="3"/>
        <item x="4"/>
        <item x="5"/>
        <item t="default"/>
      </items>
    </pivotField>
    <pivotField axis="axisCol" compact="0" outline="0" showAll="0">
      <items count="5">
        <item x="3"/>
        <item x="0"/>
        <item x="1"/>
        <item x="2"/>
        <item t="default"/>
      </items>
    </pivotField>
    <pivotField dataField="1" compact="0" numFmtId="165" outline="0" showAll="0"/>
    <pivotField compact="0" numFmtId="165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ubtotalTop="0" showAll="0"/>
    <pivotField compact="0" outline="0" subtotalTop="0" showAll="0"/>
    <pivotField compact="0" outline="0" subtotalTop="0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Avg Prev Diabetes" fld="2" subtotal="average" baseField="1" baseItem="0" numFmtId="165"/>
  </dataFields>
  <chartFormats count="4">
    <chartFormat chart="3" format="3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" format="3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" format="3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3" format="3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TableStyleInfo name="PivotStyleLight2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E74420-346C-48FE-9D5E-D469F4D05789}" name="PivotTable3" cacheId="5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12:D17" firstHeaderRow="0" firstDataRow="1" firstDataCol="1"/>
  <pivotFields count="11">
    <pivotField compact="0" outline="0" showAll="0"/>
    <pivotField axis="axisRow" compact="0" outline="0" showAll="0">
      <items count="5">
        <item x="3"/>
        <item x="0"/>
        <item x="1"/>
        <item x="2"/>
        <item t="default"/>
      </items>
    </pivotField>
    <pivotField compact="0" numFmtId="165" outline="0" showAll="0"/>
    <pivotField compact="0" numFmtId="165" outline="0" showAll="0"/>
    <pivotField compact="0" outline="0" showAll="0"/>
    <pivotField dataField="1" compact="0" outline="0" showAll="0"/>
    <pivotField dataField="1" compact="0" outline="0" showAll="0"/>
    <pivotField compact="0" outline="0" showAll="0"/>
    <pivotField compact="0" outline="0" subtotalTop="0" showAll="0"/>
    <pivotField compact="0" outline="0" subtotalTop="0" showAll="0"/>
    <pivotField compact="0" outline="0" subtotalTop="0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On Treatment (%)" fld="5" subtotal="average" baseField="1" baseItem="0" numFmtId="2"/>
    <dataField name="Average of Controlled (%)" fld="6" subtotal="average" baseField="1" baseItem="0" numFmtId="164"/>
  </dataFields>
  <pivotTableStyleInfo name="PivotStyleLight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6CD7A8-C8D9-4AB3-BC0C-4625E4AD690A}" name="NCD_Data" displayName="NCD_Data" ref="A1:K25" totalsRowShown="0" headerRowDxfId="16">
  <autoFilter ref="A1:K25" xr:uid="{676CD7A8-C8D9-4AB3-BC0C-4625E4AD690A}"/>
  <tableColumns count="11">
    <tableColumn id="1" xr3:uid="{58B7FFA3-E811-407E-9827-1760AEC5B1B9}" name="Year"/>
    <tableColumn id="2" xr3:uid="{CBDBDFF4-90F7-4C56-8652-E0F838FD8FDE}" name="Province"/>
    <tableColumn id="10" xr3:uid="{DC768FCB-1356-4D40-AB75-CB02BFC9BA38}" name="Diabetes Prevalence" dataDxfId="15" dataCellStyle="Per cent"/>
    <tableColumn id="12" xr3:uid="{5453911A-D1DE-4F5D-BEB8-A0885EA11724}" name="Hypertension Prevalence" dataDxfId="14" dataCellStyle="Per cent"/>
    <tableColumn id="5" xr3:uid="{14F22044-E332-486E-83F7-B6139EFA39C8}" name="Hypertension Awareness (%)"/>
    <tableColumn id="6" xr3:uid="{0791E4B9-18B7-4A4E-97FA-A54028ABEFA6}" name="On Treatment (%)"/>
    <tableColumn id="7" xr3:uid="{A2C25CB3-B1A6-44E2-897F-5CEA21A5878E}" name="Controlled (%)"/>
    <tableColumn id="8" xr3:uid="{083CE2E1-E2EA-49F9-B950-6729451A7817}" name="Population (in millions)" dataDxfId="13"/>
    <tableColumn id="9" xr3:uid="{3BEF2394-7787-487F-A3B7-8FF14A1A3938}" name="NSP 2030 Awareness Target (Met/Not Met)" dataDxfId="12">
      <calculatedColumnFormula>IF(NCD_Data[[#This Row],[Hypertension Awareness (%)]]&gt;=90,"Met","Not Met")</calculatedColumnFormula>
    </tableColumn>
    <tableColumn id="11" xr3:uid="{0BA1E55E-3B9E-4B24-9488-5607F22BA0C2}" name="NSP 2030 Treatment Target (Met/Not Met)" dataDxfId="11">
      <calculatedColumnFormula>IF(NCD_Data[[#This Row],[On Treatment (%)]]&gt;=60,"Met","Not Met")</calculatedColumnFormula>
    </tableColumn>
    <tableColumn id="13" xr3:uid="{EB2403E2-1099-4F6C-813D-CE4166A17C4A}" name="NSP 2030 Control Target (Met/Not Met)" dataDxfId="10">
      <calculatedColumnFormula>IF(NCD_Data[[#This Row],[Controlled (%)]]&gt;=50,"Met","Not Met")</calculatedColumnFormula>
    </tableColumn>
  </tableColumns>
  <tableStyleInfo name="TableStyleLight2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37B368D-8145-4090-A443-A8C77F0A535C}" name="Table2" displayName="Table2" ref="B1:E5" totalsRowShown="0" headerRowDxfId="22" dataDxfId="21">
  <autoFilter ref="B1:E5" xr:uid="{537B368D-8145-4090-A443-A8C77F0A535C}"/>
  <tableColumns count="4">
    <tableColumn id="1" xr3:uid="{6FF7E1A1-37BA-41DB-A27A-383FE846F419}" name="Province" dataDxfId="20"/>
    <tableColumn id="2" xr3:uid="{BF49CD85-9F27-414B-9BDB-30D380AF90D5}" name="NSP 2030 Awareness Target (%)" dataDxfId="19"/>
    <tableColumn id="3" xr3:uid="{6D5AF1D1-A3FB-457C-94E3-2ED4FE9BE33B}" name="NSP 2030 Treatment Target (%)" dataDxfId="18"/>
    <tableColumn id="4" xr3:uid="{CB5CD084-6D73-45B4-9053-84D43A5C106E}" name="NSP 2030 Control Target (%)" dataDxfId="1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B015C-84F1-4593-B832-0F2B6995F3FC}">
  <dimension ref="A1:K25"/>
  <sheetViews>
    <sheetView workbookViewId="0">
      <pane ySplit="1" topLeftCell="A2" activePane="bottomLeft" state="frozen"/>
      <selection pane="bottomLeft" activeCell="E1" sqref="E1"/>
    </sheetView>
  </sheetViews>
  <sheetFormatPr defaultRowHeight="15" x14ac:dyDescent="0.25"/>
  <cols>
    <col min="1" max="8" width="13" customWidth="1"/>
    <col min="9" max="10" width="16.42578125" customWidth="1"/>
    <col min="11" max="11" width="13.85546875" customWidth="1"/>
  </cols>
  <sheetData>
    <row r="1" spans="1:11" ht="60" x14ac:dyDescent="0.25">
      <c r="A1" s="1" t="s">
        <v>0</v>
      </c>
      <c r="B1" s="1" t="s">
        <v>1</v>
      </c>
      <c r="C1" s="2" t="s">
        <v>10</v>
      </c>
      <c r="D1" s="2" t="s">
        <v>11</v>
      </c>
      <c r="E1" s="2" t="s">
        <v>2</v>
      </c>
      <c r="F1" s="2" t="s">
        <v>3</v>
      </c>
      <c r="G1" s="2" t="s">
        <v>4</v>
      </c>
      <c r="H1" s="2" t="s">
        <v>7</v>
      </c>
      <c r="I1" s="2" t="s">
        <v>19</v>
      </c>
      <c r="J1" s="2" t="s">
        <v>20</v>
      </c>
      <c r="K1" s="2" t="s">
        <v>21</v>
      </c>
    </row>
    <row r="2" spans="1:11" x14ac:dyDescent="0.25">
      <c r="A2">
        <v>2012</v>
      </c>
      <c r="B2" t="s">
        <v>5</v>
      </c>
      <c r="C2" s="5">
        <v>7.9000000000000001E-2</v>
      </c>
      <c r="D2" s="5">
        <v>0.28399999999999997</v>
      </c>
      <c r="E2">
        <v>48.2</v>
      </c>
      <c r="F2">
        <v>38.1</v>
      </c>
      <c r="G2">
        <v>42.3</v>
      </c>
      <c r="H2">
        <v>13.2</v>
      </c>
      <c r="I2" t="str">
        <f>IF(NCD_Data[[#This Row],[Hypertension Awareness (%)]]&gt;=90,"Met","Not Met")</f>
        <v>Not Met</v>
      </c>
      <c r="J2" t="str">
        <f>IF(NCD_Data[[#This Row],[On Treatment (%)]]&gt;=60,"Met","Not Met")</f>
        <v>Not Met</v>
      </c>
      <c r="K2" s="8" t="str">
        <f>IF(NCD_Data[[#This Row],[Controlled (%)]]&gt;=50,"Met","Not Met")</f>
        <v>Not Met</v>
      </c>
    </row>
    <row r="3" spans="1:11" x14ac:dyDescent="0.25">
      <c r="A3">
        <v>2016</v>
      </c>
      <c r="B3" t="s">
        <v>5</v>
      </c>
      <c r="C3" s="5">
        <v>9.1999999999999998E-2</v>
      </c>
      <c r="D3" s="5">
        <v>0.30099999999999999</v>
      </c>
      <c r="E3">
        <v>50.3</v>
      </c>
      <c r="F3">
        <v>40.200000000000003</v>
      </c>
      <c r="G3">
        <v>44.1</v>
      </c>
      <c r="H3">
        <v>14.1</v>
      </c>
      <c r="I3" t="str">
        <f>IF(NCD_Data[[#This Row],[Hypertension Awareness (%)]]&gt;=90,"Met","Not Met")</f>
        <v>Not Met</v>
      </c>
      <c r="J3" t="str">
        <f>IF(NCD_Data[[#This Row],[On Treatment (%)]]&gt;=60,"Met","Not Met")</f>
        <v>Not Met</v>
      </c>
      <c r="K3" s="8" t="str">
        <f>IF(NCD_Data[[#This Row],[Controlled (%)]]&gt;=50,"Met","Not Met")</f>
        <v>Not Met</v>
      </c>
    </row>
    <row r="4" spans="1:11" x14ac:dyDescent="0.25">
      <c r="A4">
        <v>2018</v>
      </c>
      <c r="B4" t="s">
        <v>5</v>
      </c>
      <c r="C4" s="5">
        <v>9.8000000000000004E-2</v>
      </c>
      <c r="D4" s="5">
        <v>0.312</v>
      </c>
      <c r="E4">
        <v>51.8</v>
      </c>
      <c r="F4">
        <v>42.6</v>
      </c>
      <c r="G4">
        <v>45.2</v>
      </c>
      <c r="H4">
        <v>14.7</v>
      </c>
      <c r="I4" t="str">
        <f>IF(NCD_Data[[#This Row],[Hypertension Awareness (%)]]&gt;=90,"Met","Not Met")</f>
        <v>Not Met</v>
      </c>
      <c r="J4" t="str">
        <f>IF(NCD_Data[[#This Row],[On Treatment (%)]]&gt;=60,"Met","Not Met")</f>
        <v>Not Met</v>
      </c>
      <c r="K4" s="8" t="str">
        <f>IF(NCD_Data[[#This Row],[Controlled (%)]]&gt;=50,"Met","Not Met")</f>
        <v>Not Met</v>
      </c>
    </row>
    <row r="5" spans="1:11" x14ac:dyDescent="0.25">
      <c r="A5">
        <v>2019</v>
      </c>
      <c r="B5" t="s">
        <v>5</v>
      </c>
      <c r="C5" s="5">
        <v>0.10099999999999999</v>
      </c>
      <c r="D5" s="5">
        <v>0.32400000000000001</v>
      </c>
      <c r="E5">
        <v>52.4</v>
      </c>
      <c r="F5">
        <v>43.8</v>
      </c>
      <c r="G5">
        <v>46.3</v>
      </c>
      <c r="H5">
        <v>14.9</v>
      </c>
      <c r="I5" t="str">
        <f>IF(NCD_Data[[#This Row],[Hypertension Awareness (%)]]&gt;=90,"Met","Not Met")</f>
        <v>Not Met</v>
      </c>
      <c r="J5" t="str">
        <f>IF(NCD_Data[[#This Row],[On Treatment (%)]]&gt;=60,"Met","Not Met")</f>
        <v>Not Met</v>
      </c>
      <c r="K5" s="8" t="str">
        <f>IF(NCD_Data[[#This Row],[Controlled (%)]]&gt;=50,"Met","Not Met")</f>
        <v>Not Met</v>
      </c>
    </row>
    <row r="6" spans="1:11" x14ac:dyDescent="0.25">
      <c r="A6">
        <v>2021</v>
      </c>
      <c r="B6" t="s">
        <v>5</v>
      </c>
      <c r="C6" s="5">
        <v>0.106</v>
      </c>
      <c r="D6" s="5">
        <v>0.33799999999999997</v>
      </c>
      <c r="E6">
        <v>53.9</v>
      </c>
      <c r="F6">
        <v>45.1</v>
      </c>
      <c r="G6">
        <v>47.8</v>
      </c>
      <c r="H6">
        <v>15.1</v>
      </c>
      <c r="I6" t="str">
        <f>IF(NCD_Data[[#This Row],[Hypertension Awareness (%)]]&gt;=90,"Met","Not Met")</f>
        <v>Not Met</v>
      </c>
      <c r="J6" t="str">
        <f>IF(NCD_Data[[#This Row],[On Treatment (%)]]&gt;=60,"Met","Not Met")</f>
        <v>Not Met</v>
      </c>
      <c r="K6" s="8" t="str">
        <f>IF(NCD_Data[[#This Row],[Controlled (%)]]&gt;=50,"Met","Not Met")</f>
        <v>Not Met</v>
      </c>
    </row>
    <row r="7" spans="1:11" x14ac:dyDescent="0.25">
      <c r="A7">
        <v>2022</v>
      </c>
      <c r="B7" t="s">
        <v>5</v>
      </c>
      <c r="C7" s="5">
        <v>0.111</v>
      </c>
      <c r="D7" s="5">
        <v>0.34499999999999997</v>
      </c>
      <c r="E7">
        <v>54.3</v>
      </c>
      <c r="F7">
        <v>46.8</v>
      </c>
      <c r="G7">
        <v>48.6</v>
      </c>
      <c r="H7">
        <v>15.8</v>
      </c>
      <c r="I7" t="str">
        <f>IF(NCD_Data[[#This Row],[Hypertension Awareness (%)]]&gt;=90,"Met","Not Met")</f>
        <v>Not Met</v>
      </c>
      <c r="J7" t="str">
        <f>IF(NCD_Data[[#This Row],[On Treatment (%)]]&gt;=60,"Met","Not Met")</f>
        <v>Not Met</v>
      </c>
      <c r="K7" s="8" t="str">
        <f>IF(NCD_Data[[#This Row],[Controlled (%)]]&gt;=50,"Met","Not Met")</f>
        <v>Not Met</v>
      </c>
    </row>
    <row r="8" spans="1:11" x14ac:dyDescent="0.25">
      <c r="A8">
        <v>2012</v>
      </c>
      <c r="B8" t="s">
        <v>6</v>
      </c>
      <c r="C8" s="5">
        <v>6.8000000000000005E-2</v>
      </c>
      <c r="D8" s="5">
        <v>0.26100000000000001</v>
      </c>
      <c r="E8">
        <v>44.2</v>
      </c>
      <c r="F8">
        <v>35.4</v>
      </c>
      <c r="G8">
        <v>40.1</v>
      </c>
      <c r="H8">
        <v>10.8</v>
      </c>
      <c r="I8" t="str">
        <f>IF(NCD_Data[[#This Row],[Hypertension Awareness (%)]]&gt;=90,"Met","Not Met")</f>
        <v>Not Met</v>
      </c>
      <c r="J8" t="str">
        <f>IF(NCD_Data[[#This Row],[On Treatment (%)]]&gt;=60,"Met","Not Met")</f>
        <v>Not Met</v>
      </c>
      <c r="K8" s="8" t="str">
        <f>IF(NCD_Data[[#This Row],[Controlled (%)]]&gt;=50,"Met","Not Met")</f>
        <v>Not Met</v>
      </c>
    </row>
    <row r="9" spans="1:11" x14ac:dyDescent="0.25">
      <c r="A9">
        <v>2016</v>
      </c>
      <c r="B9" t="s">
        <v>6</v>
      </c>
      <c r="C9" s="5">
        <v>8.1000000000000003E-2</v>
      </c>
      <c r="D9" s="5">
        <v>0.27800000000000002</v>
      </c>
      <c r="E9">
        <v>46.8</v>
      </c>
      <c r="F9">
        <v>37.9</v>
      </c>
      <c r="G9">
        <v>42.4</v>
      </c>
      <c r="H9">
        <v>11.1</v>
      </c>
      <c r="I9" t="str">
        <f>IF(NCD_Data[[#This Row],[Hypertension Awareness (%)]]&gt;=90,"Met","Not Met")</f>
        <v>Not Met</v>
      </c>
      <c r="J9" t="str">
        <f>IF(NCD_Data[[#This Row],[On Treatment (%)]]&gt;=60,"Met","Not Met")</f>
        <v>Not Met</v>
      </c>
      <c r="K9" s="8" t="str">
        <f>IF(NCD_Data[[#This Row],[Controlled (%)]]&gt;=50,"Met","Not Met")</f>
        <v>Not Met</v>
      </c>
    </row>
    <row r="10" spans="1:11" x14ac:dyDescent="0.25">
      <c r="A10">
        <v>2018</v>
      </c>
      <c r="B10" t="s">
        <v>6</v>
      </c>
      <c r="C10" s="5">
        <v>8.5999999999999993E-2</v>
      </c>
      <c r="D10" s="5">
        <v>0.29199999999999998</v>
      </c>
      <c r="E10">
        <v>48.1</v>
      </c>
      <c r="F10">
        <v>39.4</v>
      </c>
      <c r="G10">
        <v>43.6</v>
      </c>
      <c r="H10">
        <v>11.4</v>
      </c>
      <c r="I10" t="str">
        <f>IF(NCD_Data[[#This Row],[Hypertension Awareness (%)]]&gt;=90,"Met","Not Met")</f>
        <v>Not Met</v>
      </c>
      <c r="J10" t="str">
        <f>IF(NCD_Data[[#This Row],[On Treatment (%)]]&gt;=60,"Met","Not Met")</f>
        <v>Not Met</v>
      </c>
      <c r="K10" s="8" t="str">
        <f>IF(NCD_Data[[#This Row],[Controlled (%)]]&gt;=50,"Met","Not Met")</f>
        <v>Not Met</v>
      </c>
    </row>
    <row r="11" spans="1:11" x14ac:dyDescent="0.25">
      <c r="A11">
        <v>2019</v>
      </c>
      <c r="B11" t="s">
        <v>6</v>
      </c>
      <c r="C11" s="5">
        <v>0.09</v>
      </c>
      <c r="D11" s="5">
        <v>0.30499999999999999</v>
      </c>
      <c r="E11">
        <v>49.3</v>
      </c>
      <c r="F11">
        <v>41.2</v>
      </c>
      <c r="G11">
        <v>44.8</v>
      </c>
      <c r="H11">
        <v>11.5</v>
      </c>
      <c r="I11" t="str">
        <f>IF(NCD_Data[[#This Row],[Hypertension Awareness (%)]]&gt;=90,"Met","Not Met")</f>
        <v>Not Met</v>
      </c>
      <c r="J11" t="str">
        <f>IF(NCD_Data[[#This Row],[On Treatment (%)]]&gt;=60,"Met","Not Met")</f>
        <v>Not Met</v>
      </c>
      <c r="K11" s="8" t="str">
        <f>IF(NCD_Data[[#This Row],[Controlled (%)]]&gt;=50,"Met","Not Met")</f>
        <v>Not Met</v>
      </c>
    </row>
    <row r="12" spans="1:11" x14ac:dyDescent="0.25">
      <c r="A12">
        <v>2021</v>
      </c>
      <c r="B12" t="s">
        <v>6</v>
      </c>
      <c r="C12" s="5">
        <v>9.4E-2</v>
      </c>
      <c r="D12" s="5">
        <v>0.318</v>
      </c>
      <c r="E12">
        <v>51.2</v>
      </c>
      <c r="F12">
        <v>43.6</v>
      </c>
      <c r="G12">
        <v>46.2</v>
      </c>
      <c r="H12">
        <v>11.8</v>
      </c>
      <c r="I12" t="str">
        <f>IF(NCD_Data[[#This Row],[Hypertension Awareness (%)]]&gt;=90,"Met","Not Met")</f>
        <v>Not Met</v>
      </c>
      <c r="J12" t="str">
        <f>IF(NCD_Data[[#This Row],[On Treatment (%)]]&gt;=60,"Met","Not Met")</f>
        <v>Not Met</v>
      </c>
      <c r="K12" s="8" t="str">
        <f>IF(NCD_Data[[#This Row],[Controlled (%)]]&gt;=50,"Met","Not Met")</f>
        <v>Not Met</v>
      </c>
    </row>
    <row r="13" spans="1:11" x14ac:dyDescent="0.25">
      <c r="A13">
        <v>2022</v>
      </c>
      <c r="B13" t="s">
        <v>6</v>
      </c>
      <c r="C13" s="5">
        <v>9.8000000000000004E-2</v>
      </c>
      <c r="D13" s="5">
        <v>0.32600000000000001</v>
      </c>
      <c r="E13">
        <v>52.8</v>
      </c>
      <c r="F13">
        <v>44.9</v>
      </c>
      <c r="G13">
        <v>47.1</v>
      </c>
      <c r="H13">
        <v>12.1</v>
      </c>
      <c r="I13" t="str">
        <f>IF(NCD_Data[[#This Row],[Hypertension Awareness (%)]]&gt;=90,"Met","Not Met")</f>
        <v>Not Met</v>
      </c>
      <c r="J13" t="str">
        <f>IF(NCD_Data[[#This Row],[On Treatment (%)]]&gt;=60,"Met","Not Met")</f>
        <v>Not Met</v>
      </c>
      <c r="K13" s="8" t="str">
        <f>IF(NCD_Data[[#This Row],[Controlled (%)]]&gt;=50,"Met","Not Met")</f>
        <v>Not Met</v>
      </c>
    </row>
    <row r="14" spans="1:11" x14ac:dyDescent="0.25">
      <c r="A14">
        <v>2012</v>
      </c>
      <c r="B14" t="s">
        <v>8</v>
      </c>
      <c r="C14" s="5">
        <v>8.4000000000000005E-2</v>
      </c>
      <c r="D14" s="5">
        <v>0.27200000000000002</v>
      </c>
      <c r="E14">
        <v>52.1</v>
      </c>
      <c r="F14">
        <v>42.3</v>
      </c>
      <c r="G14">
        <v>48.2</v>
      </c>
      <c r="H14">
        <v>5.8</v>
      </c>
      <c r="I14" t="str">
        <f>IF(NCD_Data[[#This Row],[Hypertension Awareness (%)]]&gt;=90,"Met","Not Met")</f>
        <v>Not Met</v>
      </c>
      <c r="J14" t="str">
        <f>IF(NCD_Data[[#This Row],[On Treatment (%)]]&gt;=60,"Met","Not Met")</f>
        <v>Not Met</v>
      </c>
      <c r="K14" s="8" t="str">
        <f>IF(NCD_Data[[#This Row],[Controlled (%)]]&gt;=50,"Met","Not Met")</f>
        <v>Not Met</v>
      </c>
    </row>
    <row r="15" spans="1:11" x14ac:dyDescent="0.25">
      <c r="A15">
        <v>2016</v>
      </c>
      <c r="B15" t="s">
        <v>8</v>
      </c>
      <c r="C15" s="5">
        <v>9.6000000000000002E-2</v>
      </c>
      <c r="D15" s="5">
        <v>0.28899999999999998</v>
      </c>
      <c r="E15">
        <v>54.6</v>
      </c>
      <c r="F15">
        <v>44.8</v>
      </c>
      <c r="G15">
        <v>50.1</v>
      </c>
      <c r="H15">
        <v>6.2</v>
      </c>
      <c r="I15" t="str">
        <f>IF(NCD_Data[[#This Row],[Hypertension Awareness (%)]]&gt;=90,"Met","Not Met")</f>
        <v>Not Met</v>
      </c>
      <c r="J15" t="str">
        <f>IF(NCD_Data[[#This Row],[On Treatment (%)]]&gt;=60,"Met","Not Met")</f>
        <v>Not Met</v>
      </c>
      <c r="K15" s="8" t="str">
        <f>IF(NCD_Data[[#This Row],[Controlled (%)]]&gt;=50,"Met","Not Met")</f>
        <v>Met</v>
      </c>
    </row>
    <row r="16" spans="1:11" x14ac:dyDescent="0.25">
      <c r="A16">
        <v>2018</v>
      </c>
      <c r="B16" t="s">
        <v>8</v>
      </c>
      <c r="C16" s="5">
        <v>0.10199999999999999</v>
      </c>
      <c r="D16" s="5">
        <v>0.30099999999999999</v>
      </c>
      <c r="E16">
        <v>56.2</v>
      </c>
      <c r="F16">
        <v>46.2</v>
      </c>
      <c r="G16">
        <v>51.8</v>
      </c>
      <c r="H16">
        <v>6.5</v>
      </c>
      <c r="I16" t="str">
        <f>IF(NCD_Data[[#This Row],[Hypertension Awareness (%)]]&gt;=90,"Met","Not Met")</f>
        <v>Not Met</v>
      </c>
      <c r="J16" t="str">
        <f>IF(NCD_Data[[#This Row],[On Treatment (%)]]&gt;=60,"Met","Not Met")</f>
        <v>Not Met</v>
      </c>
      <c r="K16" s="8" t="str">
        <f>IF(NCD_Data[[#This Row],[Controlled (%)]]&gt;=50,"Met","Not Met")</f>
        <v>Met</v>
      </c>
    </row>
    <row r="17" spans="1:11" x14ac:dyDescent="0.25">
      <c r="A17">
        <v>2019</v>
      </c>
      <c r="B17" t="s">
        <v>8</v>
      </c>
      <c r="C17" s="5">
        <v>0.106</v>
      </c>
      <c r="D17" s="5">
        <v>0.314</v>
      </c>
      <c r="E17">
        <v>57.8</v>
      </c>
      <c r="F17">
        <v>47.6</v>
      </c>
      <c r="G17">
        <v>52.9</v>
      </c>
      <c r="H17">
        <v>6.7</v>
      </c>
      <c r="I17" t="str">
        <f>IF(NCD_Data[[#This Row],[Hypertension Awareness (%)]]&gt;=90,"Met","Not Met")</f>
        <v>Not Met</v>
      </c>
      <c r="J17" t="str">
        <f>IF(NCD_Data[[#This Row],[On Treatment (%)]]&gt;=60,"Met","Not Met")</f>
        <v>Not Met</v>
      </c>
      <c r="K17" s="8" t="str">
        <f>IF(NCD_Data[[#This Row],[Controlled (%)]]&gt;=50,"Met","Not Met")</f>
        <v>Met</v>
      </c>
    </row>
    <row r="18" spans="1:11" x14ac:dyDescent="0.25">
      <c r="A18">
        <v>2021</v>
      </c>
      <c r="B18" t="s">
        <v>8</v>
      </c>
      <c r="C18" s="5">
        <v>0.11</v>
      </c>
      <c r="D18" s="5">
        <v>0.32799999999999996</v>
      </c>
      <c r="E18">
        <v>58.9</v>
      </c>
      <c r="F18">
        <v>49.1</v>
      </c>
      <c r="G18">
        <v>54.2</v>
      </c>
      <c r="H18">
        <v>6.9</v>
      </c>
      <c r="I18" t="str">
        <f>IF(NCD_Data[[#This Row],[Hypertension Awareness (%)]]&gt;=90,"Met","Not Met")</f>
        <v>Not Met</v>
      </c>
      <c r="J18" t="str">
        <f>IF(NCD_Data[[#This Row],[On Treatment (%)]]&gt;=60,"Met","Not Met")</f>
        <v>Not Met</v>
      </c>
      <c r="K18" s="8" t="str">
        <f>IF(NCD_Data[[#This Row],[Controlled (%)]]&gt;=50,"Met","Not Met")</f>
        <v>Met</v>
      </c>
    </row>
    <row r="19" spans="1:11" x14ac:dyDescent="0.25">
      <c r="A19">
        <v>2022</v>
      </c>
      <c r="B19" t="s">
        <v>8</v>
      </c>
      <c r="C19" s="5">
        <v>0.114</v>
      </c>
      <c r="D19" s="5">
        <v>0.33600000000000002</v>
      </c>
      <c r="E19">
        <v>59.4</v>
      </c>
      <c r="F19">
        <v>50.2</v>
      </c>
      <c r="G19">
        <v>55.8</v>
      </c>
      <c r="H19">
        <v>7.1</v>
      </c>
      <c r="I19" t="str">
        <f>IF(NCD_Data[[#This Row],[Hypertension Awareness (%)]]&gt;=90,"Met","Not Met")</f>
        <v>Not Met</v>
      </c>
      <c r="J19" t="str">
        <f>IF(NCD_Data[[#This Row],[On Treatment (%)]]&gt;=60,"Met","Not Met")</f>
        <v>Not Met</v>
      </c>
      <c r="K19" s="8" t="str">
        <f>IF(NCD_Data[[#This Row],[Controlled (%)]]&gt;=50,"Met","Not Met")</f>
        <v>Met</v>
      </c>
    </row>
    <row r="20" spans="1:11" x14ac:dyDescent="0.25">
      <c r="A20">
        <v>2012</v>
      </c>
      <c r="B20" t="s">
        <v>9</v>
      </c>
      <c r="C20" s="5">
        <v>5.9000000000000004E-2</v>
      </c>
      <c r="D20" s="5">
        <v>0.248</v>
      </c>
      <c r="E20">
        <v>38.4</v>
      </c>
      <c r="F20">
        <v>31.2</v>
      </c>
      <c r="G20">
        <v>36.799999999999997</v>
      </c>
      <c r="H20">
        <v>6.6</v>
      </c>
      <c r="I20" t="str">
        <f>IF(NCD_Data[[#This Row],[Hypertension Awareness (%)]]&gt;=90,"Met","Not Met")</f>
        <v>Not Met</v>
      </c>
      <c r="J20" t="str">
        <f>IF(NCD_Data[[#This Row],[On Treatment (%)]]&gt;=60,"Met","Not Met")</f>
        <v>Not Met</v>
      </c>
      <c r="K20" s="8" t="str">
        <f>IF(NCD_Data[[#This Row],[Controlled (%)]]&gt;=50,"Met","Not Met")</f>
        <v>Not Met</v>
      </c>
    </row>
    <row r="21" spans="1:11" x14ac:dyDescent="0.25">
      <c r="A21">
        <v>2016</v>
      </c>
      <c r="B21" t="s">
        <v>9</v>
      </c>
      <c r="C21" s="5">
        <v>7.2000000000000008E-2</v>
      </c>
      <c r="D21" s="5">
        <v>0.26400000000000001</v>
      </c>
      <c r="E21">
        <v>40.799999999999997</v>
      </c>
      <c r="F21">
        <v>33.6</v>
      </c>
      <c r="G21">
        <v>38.4</v>
      </c>
      <c r="H21">
        <v>6.7</v>
      </c>
      <c r="I21" t="str">
        <f>IF(NCD_Data[[#This Row],[Hypertension Awareness (%)]]&gt;=90,"Met","Not Met")</f>
        <v>Not Met</v>
      </c>
      <c r="J21" t="str">
        <f>IF(NCD_Data[[#This Row],[On Treatment (%)]]&gt;=60,"Met","Not Met")</f>
        <v>Not Met</v>
      </c>
      <c r="K21" s="8" t="str">
        <f>IF(NCD_Data[[#This Row],[Controlled (%)]]&gt;=50,"Met","Not Met")</f>
        <v>Not Met</v>
      </c>
    </row>
    <row r="22" spans="1:11" x14ac:dyDescent="0.25">
      <c r="A22">
        <v>2018</v>
      </c>
      <c r="B22" t="s">
        <v>9</v>
      </c>
      <c r="C22" s="5">
        <v>7.8E-2</v>
      </c>
      <c r="D22" s="5">
        <v>0.27800000000000002</v>
      </c>
      <c r="E22">
        <v>42.6</v>
      </c>
      <c r="F22">
        <v>35.4</v>
      </c>
      <c r="G22">
        <v>40.200000000000003</v>
      </c>
      <c r="H22">
        <v>6.8</v>
      </c>
      <c r="I22" t="str">
        <f>IF(NCD_Data[[#This Row],[Hypertension Awareness (%)]]&gt;=90,"Met","Not Met")</f>
        <v>Not Met</v>
      </c>
      <c r="J22" t="str">
        <f>IF(NCD_Data[[#This Row],[On Treatment (%)]]&gt;=60,"Met","Not Met")</f>
        <v>Not Met</v>
      </c>
      <c r="K22" s="8" t="str">
        <f>IF(NCD_Data[[#This Row],[Controlled (%)]]&gt;=50,"Met","Not Met")</f>
        <v>Not Met</v>
      </c>
    </row>
    <row r="23" spans="1:11" x14ac:dyDescent="0.25">
      <c r="A23">
        <v>2019</v>
      </c>
      <c r="B23" t="s">
        <v>9</v>
      </c>
      <c r="C23" s="5">
        <v>8.199999999999999E-2</v>
      </c>
      <c r="D23" s="5">
        <v>0.29100000000000004</v>
      </c>
      <c r="E23">
        <v>44.2</v>
      </c>
      <c r="F23">
        <v>37.1</v>
      </c>
      <c r="G23">
        <v>41.8</v>
      </c>
      <c r="H23">
        <v>6.9</v>
      </c>
      <c r="I23" t="str">
        <f>IF(NCD_Data[[#This Row],[Hypertension Awareness (%)]]&gt;=90,"Met","Not Met")</f>
        <v>Not Met</v>
      </c>
      <c r="J23" t="str">
        <f>IF(NCD_Data[[#This Row],[On Treatment (%)]]&gt;=60,"Met","Not Met")</f>
        <v>Not Met</v>
      </c>
      <c r="K23" s="8" t="str">
        <f>IF(NCD_Data[[#This Row],[Controlled (%)]]&gt;=50,"Met","Not Met")</f>
        <v>Not Met</v>
      </c>
    </row>
    <row r="24" spans="1:11" x14ac:dyDescent="0.25">
      <c r="A24">
        <v>2021</v>
      </c>
      <c r="B24" t="s">
        <v>9</v>
      </c>
      <c r="C24" s="5">
        <v>8.5999999999999993E-2</v>
      </c>
      <c r="D24" s="5">
        <v>0.30399999999999999</v>
      </c>
      <c r="E24">
        <v>46.1</v>
      </c>
      <c r="F24">
        <v>39.200000000000003</v>
      </c>
      <c r="G24">
        <v>43.4</v>
      </c>
      <c r="H24" s="3">
        <v>7</v>
      </c>
      <c r="I24" t="str">
        <f>IF(NCD_Data[[#This Row],[Hypertension Awareness (%)]]&gt;=90,"Met","Not Met")</f>
        <v>Not Met</v>
      </c>
      <c r="J24" t="str">
        <f>IF(NCD_Data[[#This Row],[On Treatment (%)]]&gt;=60,"Met","Not Met")</f>
        <v>Not Met</v>
      </c>
      <c r="K24" s="8" t="str">
        <f>IF(NCD_Data[[#This Row],[Controlled (%)]]&gt;=50,"Met","Not Met")</f>
        <v>Not Met</v>
      </c>
    </row>
    <row r="25" spans="1:11" x14ac:dyDescent="0.25">
      <c r="A25">
        <v>2022</v>
      </c>
      <c r="B25" t="s">
        <v>9</v>
      </c>
      <c r="C25" s="5">
        <v>0.09</v>
      </c>
      <c r="D25" s="5">
        <v>0.312</v>
      </c>
      <c r="E25">
        <v>47.8</v>
      </c>
      <c r="F25">
        <v>40.799999999999997</v>
      </c>
      <c r="G25">
        <v>44.9</v>
      </c>
      <c r="H25">
        <v>7.1</v>
      </c>
      <c r="I25" t="str">
        <f>IF(NCD_Data[[#This Row],[Hypertension Awareness (%)]]&gt;=90,"Met","Not Met")</f>
        <v>Not Met</v>
      </c>
      <c r="J25" t="str">
        <f>IF(NCD_Data[[#This Row],[On Treatment (%)]]&gt;=60,"Met","Not Met")</f>
        <v>Not Met</v>
      </c>
      <c r="K25" s="8" t="str">
        <f>IF(NCD_Data[[#This Row],[Controlled (%)]]&gt;=50,"Met","Not Met")</f>
        <v>Not Met</v>
      </c>
    </row>
  </sheetData>
  <phoneticPr fontId="2" type="noConversion"/>
  <conditionalFormatting sqref="C2:C25">
    <cfRule type="cellIs" dxfId="5" priority="4" operator="greaterThan">
      <formula>0.1</formula>
    </cfRule>
    <cfRule type="cellIs" dxfId="3" priority="3" operator="lessThan">
      <formula>0.08</formula>
    </cfRule>
  </conditionalFormatting>
  <conditionalFormatting sqref="E2:E25">
    <cfRule type="cellIs" dxfId="4" priority="1" operator="lessThan">
      <formula>50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FECFE-0D64-4F3C-8372-BDD97A75F031}">
  <dimension ref="B2:P29"/>
  <sheetViews>
    <sheetView workbookViewId="0">
      <selection activeCell="G16" sqref="G15:G18"/>
      <pivotSelection pane="bottomRight" showHeader="1" activeRow="15" activeCol="6" click="1" r:id="rId2">
        <pivotArea dataOnly="0" labelOnly="1" outline="0" fieldPosition="0">
          <references count="1">
            <reference field="1" count="0"/>
          </references>
        </pivotArea>
      </pivotSelection>
    </sheetView>
  </sheetViews>
  <sheetFormatPr defaultRowHeight="15" x14ac:dyDescent="0.25"/>
  <cols>
    <col min="2" max="2" width="14.28515625" bestFit="1" customWidth="1"/>
    <col min="3" max="3" width="27.140625" bestFit="1" customWidth="1"/>
    <col min="4" max="4" width="24.42578125" bestFit="1" customWidth="1"/>
    <col min="5" max="6" width="14" bestFit="1" customWidth="1"/>
    <col min="7" max="7" width="14.28515625" bestFit="1" customWidth="1"/>
    <col min="8" max="8" width="37.5703125" bestFit="1" customWidth="1"/>
    <col min="9" max="9" width="27.140625" bestFit="1" customWidth="1"/>
    <col min="10" max="10" width="24.42578125" bestFit="1" customWidth="1"/>
    <col min="11" max="14" width="45" bestFit="1" customWidth="1"/>
    <col min="15" max="16" width="8.5703125" customWidth="1"/>
    <col min="17" max="19" width="19.140625" bestFit="1" customWidth="1"/>
    <col min="20" max="20" width="19.140625" customWidth="1"/>
    <col min="21" max="25" width="19.140625" bestFit="1" customWidth="1"/>
    <col min="26" max="26" width="11.28515625" bestFit="1" customWidth="1"/>
  </cols>
  <sheetData>
    <row r="2" spans="2:16" x14ac:dyDescent="0.25">
      <c r="B2" s="6" t="s">
        <v>23</v>
      </c>
      <c r="C2" s="6" t="s">
        <v>1</v>
      </c>
      <c r="I2" s="6" t="s">
        <v>13</v>
      </c>
      <c r="J2" s="6" t="s">
        <v>0</v>
      </c>
    </row>
    <row r="3" spans="2:16" x14ac:dyDescent="0.25">
      <c r="B3" s="6" t="s">
        <v>0</v>
      </c>
      <c r="C3" t="s">
        <v>9</v>
      </c>
      <c r="D3" t="s">
        <v>5</v>
      </c>
      <c r="E3" t="s">
        <v>6</v>
      </c>
      <c r="F3" t="s">
        <v>8</v>
      </c>
      <c r="G3" t="s">
        <v>12</v>
      </c>
      <c r="I3" s="6" t="s">
        <v>1</v>
      </c>
      <c r="J3">
        <v>2012</v>
      </c>
      <c r="K3">
        <v>2016</v>
      </c>
      <c r="L3">
        <v>2018</v>
      </c>
      <c r="M3">
        <v>2019</v>
      </c>
      <c r="N3">
        <v>2021</v>
      </c>
      <c r="O3">
        <v>2022</v>
      </c>
      <c r="P3" t="s">
        <v>12</v>
      </c>
    </row>
    <row r="4" spans="2:16" x14ac:dyDescent="0.25">
      <c r="B4">
        <v>2012</v>
      </c>
      <c r="C4" s="4">
        <v>5.9000000000000004E-2</v>
      </c>
      <c r="D4" s="4">
        <v>7.9000000000000001E-2</v>
      </c>
      <c r="E4" s="4">
        <v>6.8000000000000005E-2</v>
      </c>
      <c r="F4" s="4">
        <v>8.4000000000000005E-2</v>
      </c>
      <c r="G4" s="4">
        <v>7.2500000000000009E-2</v>
      </c>
      <c r="I4" t="s">
        <v>9</v>
      </c>
      <c r="J4" s="3">
        <v>38.4</v>
      </c>
      <c r="K4" s="3">
        <v>40.799999999999997</v>
      </c>
      <c r="L4" s="3">
        <v>42.6</v>
      </c>
      <c r="M4" s="3">
        <v>44.2</v>
      </c>
      <c r="N4" s="3">
        <v>46.1</v>
      </c>
      <c r="O4" s="3">
        <v>47.8</v>
      </c>
      <c r="P4" s="3">
        <v>43.316666666666663</v>
      </c>
    </row>
    <row r="5" spans="2:16" x14ac:dyDescent="0.25">
      <c r="B5">
        <v>2016</v>
      </c>
      <c r="C5" s="4">
        <v>7.2000000000000008E-2</v>
      </c>
      <c r="D5" s="4">
        <v>9.1999999999999998E-2</v>
      </c>
      <c r="E5" s="4">
        <v>8.1000000000000003E-2</v>
      </c>
      <c r="F5" s="4">
        <v>9.6000000000000002E-2</v>
      </c>
      <c r="G5" s="4">
        <v>8.5249999999999992E-2</v>
      </c>
      <c r="I5" t="s">
        <v>5</v>
      </c>
      <c r="J5" s="3">
        <v>48.2</v>
      </c>
      <c r="K5" s="3">
        <v>50.3</v>
      </c>
      <c r="L5" s="3">
        <v>51.8</v>
      </c>
      <c r="M5" s="3">
        <v>52.4</v>
      </c>
      <c r="N5" s="3">
        <v>53.9</v>
      </c>
      <c r="O5" s="3">
        <v>54.3</v>
      </c>
      <c r="P5" s="3">
        <v>51.81666666666667</v>
      </c>
    </row>
    <row r="6" spans="2:16" x14ac:dyDescent="0.25">
      <c r="B6">
        <v>2018</v>
      </c>
      <c r="C6" s="4">
        <v>7.8E-2</v>
      </c>
      <c r="D6" s="4">
        <v>9.8000000000000004E-2</v>
      </c>
      <c r="E6" s="4">
        <v>8.5999999999999993E-2</v>
      </c>
      <c r="F6" s="4">
        <v>0.10199999999999999</v>
      </c>
      <c r="G6" s="4">
        <v>9.0999999999999998E-2</v>
      </c>
      <c r="I6" t="s">
        <v>6</v>
      </c>
      <c r="J6" s="3">
        <v>44.2</v>
      </c>
      <c r="K6" s="3">
        <v>46.8</v>
      </c>
      <c r="L6" s="3">
        <v>48.1</v>
      </c>
      <c r="M6" s="3">
        <v>49.3</v>
      </c>
      <c r="N6" s="3">
        <v>51.2</v>
      </c>
      <c r="O6" s="3">
        <v>52.8</v>
      </c>
      <c r="P6" s="3">
        <v>48.733333333333327</v>
      </c>
    </row>
    <row r="7" spans="2:16" x14ac:dyDescent="0.25">
      <c r="B7">
        <v>2019</v>
      </c>
      <c r="C7" s="4">
        <v>8.199999999999999E-2</v>
      </c>
      <c r="D7" s="4">
        <v>0.10099999999999999</v>
      </c>
      <c r="E7" s="4">
        <v>0.09</v>
      </c>
      <c r="F7" s="4">
        <v>0.106</v>
      </c>
      <c r="G7" s="4">
        <v>9.4750000000000001E-2</v>
      </c>
      <c r="I7" t="s">
        <v>8</v>
      </c>
      <c r="J7" s="3">
        <v>52.1</v>
      </c>
      <c r="K7" s="3">
        <v>54.6</v>
      </c>
      <c r="L7" s="3">
        <v>56.2</v>
      </c>
      <c r="M7" s="3">
        <v>57.8</v>
      </c>
      <c r="N7" s="3">
        <v>58.9</v>
      </c>
      <c r="O7" s="3">
        <v>59.4</v>
      </c>
      <c r="P7" s="3">
        <v>56.499999999999993</v>
      </c>
    </row>
    <row r="8" spans="2:16" x14ac:dyDescent="0.25">
      <c r="B8">
        <v>2021</v>
      </c>
      <c r="C8" s="4">
        <v>8.5999999999999993E-2</v>
      </c>
      <c r="D8" s="4">
        <v>0.106</v>
      </c>
      <c r="E8" s="4">
        <v>9.4E-2</v>
      </c>
      <c r="F8" s="4">
        <v>0.11</v>
      </c>
      <c r="G8" s="4">
        <v>9.9000000000000005E-2</v>
      </c>
      <c r="I8" t="s">
        <v>12</v>
      </c>
      <c r="J8" s="3">
        <v>45.725000000000001</v>
      </c>
      <c r="K8" s="3">
        <v>48.124999999999993</v>
      </c>
      <c r="L8" s="3">
        <v>49.674999999999997</v>
      </c>
      <c r="M8" s="3">
        <v>50.924999999999997</v>
      </c>
      <c r="N8" s="3">
        <v>52.524999999999999</v>
      </c>
      <c r="O8" s="3">
        <v>53.574999999999996</v>
      </c>
      <c r="P8" s="3">
        <v>50.091666666666661</v>
      </c>
    </row>
    <row r="9" spans="2:16" x14ac:dyDescent="0.25">
      <c r="B9">
        <v>2022</v>
      </c>
      <c r="C9" s="4">
        <v>0.09</v>
      </c>
      <c r="D9" s="4">
        <v>0.111</v>
      </c>
      <c r="E9" s="4">
        <v>9.8000000000000004E-2</v>
      </c>
      <c r="F9" s="4">
        <v>0.114</v>
      </c>
      <c r="G9" s="4">
        <v>0.10325000000000001</v>
      </c>
    </row>
    <row r="10" spans="2:16" x14ac:dyDescent="0.25">
      <c r="B10" t="s">
        <v>12</v>
      </c>
      <c r="C10" s="4">
        <v>7.7833333333333324E-2</v>
      </c>
      <c r="D10" s="4">
        <v>9.7833333333333328E-2</v>
      </c>
      <c r="E10" s="4">
        <v>8.6166666666666669E-2</v>
      </c>
      <c r="F10" s="4">
        <v>0.10199999999999999</v>
      </c>
      <c r="G10" s="4">
        <v>9.0958333333333322E-2</v>
      </c>
    </row>
    <row r="12" spans="2:16" x14ac:dyDescent="0.25">
      <c r="B12" s="6" t="s">
        <v>1</v>
      </c>
      <c r="C12" t="s">
        <v>14</v>
      </c>
      <c r="D12" t="s">
        <v>15</v>
      </c>
      <c r="G12" s="6" t="s">
        <v>0</v>
      </c>
      <c r="H12" s="10">
        <v>2022</v>
      </c>
    </row>
    <row r="13" spans="2:16" x14ac:dyDescent="0.25">
      <c r="B13" t="s">
        <v>9</v>
      </c>
      <c r="C13" s="7">
        <v>36.216666666666669</v>
      </c>
      <c r="D13" s="3">
        <v>40.916666666666664</v>
      </c>
    </row>
    <row r="14" spans="2:16" x14ac:dyDescent="0.25">
      <c r="B14" t="s">
        <v>5</v>
      </c>
      <c r="C14" s="7">
        <v>42.766666666666659</v>
      </c>
      <c r="D14" s="3">
        <v>45.716666666666676</v>
      </c>
      <c r="G14" s="6" t="s">
        <v>1</v>
      </c>
      <c r="H14" t="s">
        <v>13</v>
      </c>
      <c r="I14" t="s">
        <v>14</v>
      </c>
      <c r="J14" t="s">
        <v>15</v>
      </c>
    </row>
    <row r="15" spans="2:16" x14ac:dyDescent="0.25">
      <c r="B15" t="s">
        <v>6</v>
      </c>
      <c r="C15" s="7">
        <v>40.4</v>
      </c>
      <c r="D15" s="3">
        <v>44.033333333333331</v>
      </c>
      <c r="G15" t="s">
        <v>9</v>
      </c>
      <c r="H15" s="8">
        <v>47.8</v>
      </c>
      <c r="I15" s="8">
        <v>40.799999999999997</v>
      </c>
      <c r="J15" s="8">
        <v>44.9</v>
      </c>
    </row>
    <row r="16" spans="2:16" x14ac:dyDescent="0.25">
      <c r="B16" t="s">
        <v>8</v>
      </c>
      <c r="C16" s="7">
        <v>46.699999999999996</v>
      </c>
      <c r="D16" s="3">
        <v>52.166666666666679</v>
      </c>
      <c r="G16" t="s">
        <v>5</v>
      </c>
      <c r="H16" s="8">
        <v>54.3</v>
      </c>
      <c r="I16" s="8">
        <v>46.8</v>
      </c>
      <c r="J16" s="8">
        <v>48.6</v>
      </c>
    </row>
    <row r="17" spans="2:10" x14ac:dyDescent="0.25">
      <c r="B17" t="s">
        <v>12</v>
      </c>
      <c r="C17" s="7">
        <v>41.520833333333336</v>
      </c>
      <c r="D17" s="3">
        <v>45.708333333333336</v>
      </c>
      <c r="G17" t="s">
        <v>6</v>
      </c>
      <c r="H17" s="8">
        <v>52.8</v>
      </c>
      <c r="I17" s="8">
        <v>44.9</v>
      </c>
      <c r="J17" s="8">
        <v>47.1</v>
      </c>
    </row>
    <row r="18" spans="2:10" x14ac:dyDescent="0.25">
      <c r="G18" t="s">
        <v>8</v>
      </c>
      <c r="H18" s="8">
        <v>59.4</v>
      </c>
      <c r="I18" s="8">
        <v>50.2</v>
      </c>
      <c r="J18" s="8">
        <v>55.8</v>
      </c>
    </row>
    <row r="19" spans="2:10" x14ac:dyDescent="0.25">
      <c r="G19" t="s">
        <v>12</v>
      </c>
      <c r="H19" s="8">
        <v>53.574999999999996</v>
      </c>
      <c r="I19" s="8">
        <v>45.674999999999997</v>
      </c>
      <c r="J19" s="8">
        <v>49.099999999999994</v>
      </c>
    </row>
    <row r="21" spans="2:10" x14ac:dyDescent="0.25">
      <c r="B21" s="6" t="s">
        <v>22</v>
      </c>
      <c r="C21" s="6" t="s">
        <v>1</v>
      </c>
    </row>
    <row r="22" spans="2:10" x14ac:dyDescent="0.25">
      <c r="B22" s="6" t="s">
        <v>0</v>
      </c>
      <c r="C22" t="s">
        <v>9</v>
      </c>
      <c r="D22" t="s">
        <v>5</v>
      </c>
      <c r="E22" t="s">
        <v>6</v>
      </c>
      <c r="F22" t="s">
        <v>8</v>
      </c>
      <c r="G22" t="s">
        <v>12</v>
      </c>
    </row>
    <row r="23" spans="2:10" x14ac:dyDescent="0.25">
      <c r="B23">
        <v>2012</v>
      </c>
      <c r="C23" s="4">
        <v>0.248</v>
      </c>
      <c r="D23" s="4">
        <v>0.28399999999999997</v>
      </c>
      <c r="E23" s="4">
        <v>0.26100000000000001</v>
      </c>
      <c r="F23" s="4">
        <v>0.27200000000000002</v>
      </c>
      <c r="G23" s="4">
        <v>0.26624999999999999</v>
      </c>
    </row>
    <row r="24" spans="2:10" x14ac:dyDescent="0.25">
      <c r="B24">
        <v>2016</v>
      </c>
      <c r="C24" s="4">
        <v>0.26400000000000001</v>
      </c>
      <c r="D24" s="4">
        <v>0.30099999999999999</v>
      </c>
      <c r="E24" s="4">
        <v>0.27800000000000002</v>
      </c>
      <c r="F24" s="4">
        <v>0.28899999999999998</v>
      </c>
      <c r="G24" s="4">
        <v>0.28299999999999997</v>
      </c>
    </row>
    <row r="25" spans="2:10" x14ac:dyDescent="0.25">
      <c r="B25">
        <v>2018</v>
      </c>
      <c r="C25" s="4">
        <v>0.27800000000000002</v>
      </c>
      <c r="D25" s="4">
        <v>0.312</v>
      </c>
      <c r="E25" s="4">
        <v>0.29199999999999998</v>
      </c>
      <c r="F25" s="4">
        <v>0.30099999999999999</v>
      </c>
      <c r="G25" s="4">
        <v>0.29575000000000001</v>
      </c>
    </row>
    <row r="26" spans="2:10" x14ac:dyDescent="0.25">
      <c r="B26">
        <v>2019</v>
      </c>
      <c r="C26" s="4">
        <v>0.29100000000000004</v>
      </c>
      <c r="D26" s="4">
        <v>0.32400000000000001</v>
      </c>
      <c r="E26" s="4">
        <v>0.30499999999999999</v>
      </c>
      <c r="F26" s="4">
        <v>0.314</v>
      </c>
      <c r="G26" s="4">
        <v>0.3085</v>
      </c>
    </row>
    <row r="27" spans="2:10" x14ac:dyDescent="0.25">
      <c r="B27">
        <v>2021</v>
      </c>
      <c r="C27" s="4">
        <v>0.30399999999999999</v>
      </c>
      <c r="D27" s="4">
        <v>0.33799999999999997</v>
      </c>
      <c r="E27" s="4">
        <v>0.318</v>
      </c>
      <c r="F27" s="4">
        <v>0.32799999999999996</v>
      </c>
      <c r="G27" s="4">
        <v>0.32199999999999995</v>
      </c>
    </row>
    <row r="28" spans="2:10" x14ac:dyDescent="0.25">
      <c r="B28">
        <v>2022</v>
      </c>
      <c r="C28" s="4">
        <v>0.312</v>
      </c>
      <c r="D28" s="4">
        <v>0.34499999999999997</v>
      </c>
      <c r="E28" s="4">
        <v>0.32600000000000001</v>
      </c>
      <c r="F28" s="4">
        <v>0.33600000000000002</v>
      </c>
      <c r="G28" s="4">
        <v>0.32975000000000004</v>
      </c>
    </row>
    <row r="29" spans="2:10" x14ac:dyDescent="0.25">
      <c r="B29" t="s">
        <v>12</v>
      </c>
      <c r="C29" s="4">
        <v>0.28283333333333333</v>
      </c>
      <c r="D29" s="4">
        <v>0.31733333333333336</v>
      </c>
      <c r="E29" s="4">
        <v>0.29666666666666669</v>
      </c>
      <c r="F29" s="4">
        <v>0.3066666666666667</v>
      </c>
      <c r="G29" s="4">
        <v>0.30087499999999995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DA4EB-F0B0-46FF-A9FC-B20F532F54E4}">
  <dimension ref="B1:E5"/>
  <sheetViews>
    <sheetView workbookViewId="0">
      <selection activeCell="E7" sqref="E7"/>
    </sheetView>
  </sheetViews>
  <sheetFormatPr defaultRowHeight="15" x14ac:dyDescent="0.25"/>
  <cols>
    <col min="2" max="5" width="20.85546875" customWidth="1"/>
  </cols>
  <sheetData>
    <row r="1" spans="2:5" x14ac:dyDescent="0.25">
      <c r="B1" s="9" t="s">
        <v>1</v>
      </c>
      <c r="C1" s="9" t="s">
        <v>16</v>
      </c>
      <c r="D1" s="9" t="s">
        <v>17</v>
      </c>
      <c r="E1" s="9" t="s">
        <v>18</v>
      </c>
    </row>
    <row r="2" spans="2:5" x14ac:dyDescent="0.25">
      <c r="B2" s="9" t="s">
        <v>5</v>
      </c>
      <c r="C2" s="9">
        <v>90</v>
      </c>
      <c r="D2" s="9">
        <v>60</v>
      </c>
      <c r="E2" s="9">
        <v>50</v>
      </c>
    </row>
    <row r="3" spans="2:5" ht="30" x14ac:dyDescent="0.25">
      <c r="B3" s="9" t="s">
        <v>6</v>
      </c>
      <c r="C3" s="9">
        <v>90</v>
      </c>
      <c r="D3" s="9">
        <v>60</v>
      </c>
      <c r="E3" s="9">
        <v>50</v>
      </c>
    </row>
    <row r="4" spans="2:5" ht="30" x14ac:dyDescent="0.25">
      <c r="B4" s="9" t="s">
        <v>8</v>
      </c>
      <c r="C4" s="9">
        <v>90</v>
      </c>
      <c r="D4" s="9">
        <v>60</v>
      </c>
      <c r="E4" s="9">
        <v>50</v>
      </c>
    </row>
    <row r="5" spans="2:5" ht="30" x14ac:dyDescent="0.25">
      <c r="B5" s="9" t="s">
        <v>9</v>
      </c>
      <c r="C5" s="9">
        <v>90</v>
      </c>
      <c r="D5" s="9">
        <v>60</v>
      </c>
      <c r="E5" s="9">
        <v>50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D103F-DF82-4586-9F0B-24055C7DEA6B}">
  <dimension ref="A1"/>
  <sheetViews>
    <sheetView topLeftCell="B1" workbookViewId="0">
      <selection activeCell="V16" sqref="V16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73720-5E7F-4670-A966-DF8385E0BA48}">
  <dimension ref="C1:H3"/>
  <sheetViews>
    <sheetView showGridLines="0" tabSelected="1" workbookViewId="0">
      <selection activeCell="G19" sqref="G19"/>
    </sheetView>
  </sheetViews>
  <sheetFormatPr defaultRowHeight="15" x14ac:dyDescent="0.25"/>
  <cols>
    <col min="3" max="3" width="52.85546875" bestFit="1" customWidth="1"/>
  </cols>
  <sheetData>
    <row r="1" spans="3:8" ht="24.75" x14ac:dyDescent="0.4">
      <c r="C1" s="11" t="s">
        <v>24</v>
      </c>
      <c r="D1" s="11"/>
      <c r="E1" s="11"/>
      <c r="F1" s="11"/>
      <c r="G1" s="11"/>
      <c r="H1" s="11"/>
    </row>
    <row r="3" spans="3:8" ht="15.75" x14ac:dyDescent="0.3">
      <c r="C3" s="12" t="s">
        <v>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 Data</vt:lpstr>
      <vt:lpstr>Pivot Analysis</vt:lpstr>
      <vt:lpstr>Lookup Tool</vt:lpstr>
      <vt:lpstr>Charts</vt:lpstr>
      <vt:lpstr>NCD 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Phumza Nkosi</dc:creator>
  <cp:lastModifiedBy>Phumza Nkosi</cp:lastModifiedBy>
  <dcterms:created xsi:type="dcterms:W3CDTF">2026-03-24T14:13:33Z</dcterms:created>
  <dcterms:modified xsi:type="dcterms:W3CDTF">2026-03-24T17:56:57Z</dcterms:modified>
</cp:coreProperties>
</file>